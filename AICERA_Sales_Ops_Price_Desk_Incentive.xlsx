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cquline\Downloads\"/>
    </mc:Choice>
  </mc:AlternateContent>
  <bookViews>
    <workbookView xWindow="0" yWindow="660" windowWidth="30240" windowHeight="18975" tabRatio="500" firstSheet="2" activeTab="6"/>
  </bookViews>
  <sheets>
    <sheet name="Dashboard" sheetId="1" r:id="rId1"/>
    <sheet name="Targets &amp; Settings" sheetId="2" r:id="rId2"/>
    <sheet name="Price Desk" sheetId="3" r:id="rId3"/>
    <sheet name="Order Checklist" sheetId="5" r:id="rId4"/>
    <sheet name="Orders" sheetId="4" r:id="rId5"/>
    <sheet name="Incentive" sheetId="6" r:id="rId6"/>
    <sheet name="Dev Spec (Web App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6" l="1"/>
  <c r="C44" i="1" s="1"/>
  <c r="B7" i="6"/>
  <c r="C6" i="6"/>
  <c r="C43" i="1" s="1"/>
  <c r="B6" i="6"/>
  <c r="C5" i="6"/>
  <c r="C8" i="6" s="1"/>
  <c r="D5" i="1" s="1"/>
  <c r="B5" i="6"/>
  <c r="P22" i="5"/>
  <c r="O22" i="5"/>
  <c r="P21" i="5"/>
  <c r="O21" i="5"/>
  <c r="P20" i="5"/>
  <c r="O20" i="5"/>
  <c r="P19" i="5"/>
  <c r="O19" i="5"/>
  <c r="P18" i="5"/>
  <c r="O18" i="5"/>
  <c r="P17" i="5"/>
  <c r="O17" i="5"/>
  <c r="P16" i="5"/>
  <c r="O16" i="5"/>
  <c r="P15" i="5"/>
  <c r="O15" i="5"/>
  <c r="P14" i="5"/>
  <c r="O14" i="5"/>
  <c r="P13" i="5"/>
  <c r="O13" i="5"/>
  <c r="P12" i="5"/>
  <c r="O12" i="5"/>
  <c r="O11" i="5"/>
  <c r="P11" i="5" s="1"/>
  <c r="P10" i="5"/>
  <c r="O10" i="5"/>
  <c r="P9" i="5"/>
  <c r="O9" i="5"/>
  <c r="O8" i="5"/>
  <c r="P8" i="5" s="1"/>
  <c r="P7" i="5"/>
  <c r="O7" i="5"/>
  <c r="O6" i="5"/>
  <c r="P6" i="5" s="1"/>
  <c r="P5" i="5"/>
  <c r="O5" i="5"/>
  <c r="H25" i="4"/>
  <c r="G25" i="4"/>
  <c r="J24" i="4"/>
  <c r="I24" i="4"/>
  <c r="C24" i="4"/>
  <c r="J23" i="4"/>
  <c r="I23" i="4"/>
  <c r="C23" i="4"/>
  <c r="J22" i="4"/>
  <c r="I22" i="4"/>
  <c r="C22" i="4"/>
  <c r="J21" i="4"/>
  <c r="I21" i="4"/>
  <c r="C21" i="4"/>
  <c r="J20" i="4"/>
  <c r="I20" i="4"/>
  <c r="C20" i="4"/>
  <c r="J19" i="4"/>
  <c r="I19" i="4"/>
  <c r="C19" i="4"/>
  <c r="J18" i="4"/>
  <c r="I18" i="4"/>
  <c r="C18" i="4"/>
  <c r="J17" i="4"/>
  <c r="I17" i="4"/>
  <c r="C17" i="4"/>
  <c r="J16" i="4"/>
  <c r="I16" i="4"/>
  <c r="C16" i="4"/>
  <c r="J15" i="4"/>
  <c r="I15" i="4"/>
  <c r="C15" i="4"/>
  <c r="J14" i="4"/>
  <c r="I14" i="4"/>
  <c r="C14" i="4"/>
  <c r="J13" i="4"/>
  <c r="I13" i="4"/>
  <c r="C13" i="4"/>
  <c r="J12" i="4"/>
  <c r="I12" i="4"/>
  <c r="C12" i="4"/>
  <c r="I11" i="4"/>
  <c r="J11" i="4" s="1"/>
  <c r="C11" i="4"/>
  <c r="I10" i="4"/>
  <c r="J10" i="4" s="1"/>
  <c r="C10" i="4"/>
  <c r="I9" i="4"/>
  <c r="J9" i="4" s="1"/>
  <c r="C9" i="4"/>
  <c r="J8" i="4"/>
  <c r="I8" i="4"/>
  <c r="C8" i="4"/>
  <c r="J7" i="4"/>
  <c r="I7" i="4"/>
  <c r="C7" i="4"/>
  <c r="I6" i="4"/>
  <c r="G6" i="6" s="1"/>
  <c r="C6" i="4"/>
  <c r="B56" i="1" s="1"/>
  <c r="I5" i="4"/>
  <c r="G5" i="6" s="1"/>
  <c r="C5" i="4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H14" i="3"/>
  <c r="I14" i="3" s="1"/>
  <c r="J14" i="3" s="1"/>
  <c r="K14" i="3" s="1"/>
  <c r="I13" i="3"/>
  <c r="J13" i="3" s="1"/>
  <c r="K13" i="3" s="1"/>
  <c r="H13" i="3"/>
  <c r="H12" i="3"/>
  <c r="I12" i="3" s="1"/>
  <c r="J12" i="3" s="1"/>
  <c r="K12" i="3" s="1"/>
  <c r="I11" i="3"/>
  <c r="J11" i="3" s="1"/>
  <c r="K11" i="3" s="1"/>
  <c r="H11" i="3"/>
  <c r="K10" i="3"/>
  <c r="J10" i="3"/>
  <c r="I10" i="3"/>
  <c r="H10" i="3"/>
  <c r="H9" i="3"/>
  <c r="I9" i="3" s="1"/>
  <c r="J9" i="3" s="1"/>
  <c r="K9" i="3" s="1"/>
  <c r="I8" i="3"/>
  <c r="J8" i="3" s="1"/>
  <c r="K8" i="3" s="1"/>
  <c r="H8" i="3"/>
  <c r="H7" i="3"/>
  <c r="I7" i="3" s="1"/>
  <c r="J7" i="3" s="1"/>
  <c r="K7" i="3" s="1"/>
  <c r="I6" i="3"/>
  <c r="J6" i="3" s="1"/>
  <c r="K6" i="3" s="1"/>
  <c r="H6" i="3"/>
  <c r="K5" i="3"/>
  <c r="J5" i="3"/>
  <c r="I5" i="3"/>
  <c r="H5" i="3"/>
  <c r="B14" i="2"/>
  <c r="C13" i="2"/>
  <c r="E13" i="2" s="1"/>
  <c r="E12" i="2"/>
  <c r="D12" i="2"/>
  <c r="C12" i="2"/>
  <c r="F6" i="6" s="1"/>
  <c r="E11" i="2"/>
  <c r="D11" i="2"/>
  <c r="C11" i="2"/>
  <c r="F5" i="6" s="1"/>
  <c r="B66" i="1"/>
  <c r="B65" i="1"/>
  <c r="B64" i="1"/>
  <c r="B63" i="1"/>
  <c r="B44" i="1"/>
  <c r="A44" i="1"/>
  <c r="B43" i="1"/>
  <c r="A43" i="1"/>
  <c r="C42" i="1"/>
  <c r="B42" i="1"/>
  <c r="A42" i="1"/>
  <c r="J6" i="4" l="1"/>
  <c r="J5" i="4"/>
  <c r="E5" i="6"/>
  <c r="E6" i="6"/>
  <c r="E7" i="6"/>
  <c r="E14" i="2"/>
  <c r="E42" i="1"/>
  <c r="J5" i="6"/>
  <c r="D42" i="1"/>
  <c r="I5" i="6"/>
  <c r="H5" i="6"/>
  <c r="E43" i="1"/>
  <c r="J6" i="6"/>
  <c r="F43" i="1" s="1"/>
  <c r="H6" i="6"/>
  <c r="D43" i="1"/>
  <c r="I6" i="6"/>
  <c r="C51" i="1"/>
  <c r="C56" i="1"/>
  <c r="B53" i="1"/>
  <c r="B52" i="1"/>
  <c r="B57" i="1"/>
  <c r="C14" i="2"/>
  <c r="D14" i="2" s="1"/>
  <c r="B8" i="6"/>
  <c r="B50" i="1"/>
  <c r="C52" i="1"/>
  <c r="C57" i="1"/>
  <c r="B58" i="1"/>
  <c r="C48" i="1"/>
  <c r="C53" i="1"/>
  <c r="C58" i="1"/>
  <c r="D7" i="6"/>
  <c r="B48" i="1"/>
  <c r="B54" i="1"/>
  <c r="B59" i="1"/>
  <c r="D6" i="6"/>
  <c r="C49" i="1"/>
  <c r="C54" i="1"/>
  <c r="C59" i="1"/>
  <c r="I25" i="4"/>
  <c r="J25" i="4" s="1"/>
  <c r="D5" i="6"/>
  <c r="F7" i="6"/>
  <c r="G7" i="6"/>
  <c r="B49" i="1"/>
  <c r="C50" i="1"/>
  <c r="C55" i="1"/>
  <c r="D13" i="2"/>
  <c r="B55" i="1"/>
  <c r="B51" i="1"/>
  <c r="D8" i="6" l="1"/>
  <c r="G5" i="1" s="1"/>
  <c r="E44" i="1"/>
  <c r="J7" i="6"/>
  <c r="F44" i="1" s="1"/>
  <c r="I7" i="6"/>
  <c r="H7" i="6"/>
  <c r="H8" i="6" s="1"/>
  <c r="G9" i="1" s="1"/>
  <c r="D44" i="1"/>
  <c r="F8" i="6"/>
  <c r="F42" i="1"/>
  <c r="G8" i="6"/>
  <c r="D9" i="1" s="1"/>
  <c r="A5" i="1"/>
  <c r="E8" i="6"/>
  <c r="J5" i="1" s="1"/>
  <c r="J8" i="6" l="1"/>
  <c r="J9" i="1" s="1"/>
  <c r="I8" i="6"/>
  <c r="A9" i="1"/>
</calcChain>
</file>

<file path=xl/sharedStrings.xml><?xml version="1.0" encoding="utf-8"?>
<sst xmlns="http://schemas.openxmlformats.org/spreadsheetml/2006/main" count="412" uniqueCount="221">
  <si>
    <t>AICERA SALES OPS DASHBOARD — FY 2026-27</t>
  </si>
  <si>
    <t>Live view: Targets vs Achievement, To-Go, Price Desk status &amp; Incentive. All numbers flow from Targets, Orders &amp; Price Desk sheets.</t>
  </si>
  <si>
    <t>TOP LINE TARGET</t>
  </si>
  <si>
    <t>REVENUE BOOKED</t>
  </si>
  <si>
    <t>REVENUE TO GO</t>
  </si>
  <si>
    <t>REVENUE ACH %</t>
  </si>
  <si>
    <t>BOTTOM LINE TARGET (8%)</t>
  </si>
  <si>
    <t>MARGIN EARNED (QUOTA)</t>
  </si>
  <si>
    <t>MARGIN TO GO</t>
  </si>
  <si>
    <t>CHART DATA (auto — do not edit)</t>
  </si>
  <si>
    <t>Sales Person</t>
  </si>
  <si>
    <t>Revenue Target</t>
  </si>
  <si>
    <t>Revenue Booked</t>
  </si>
  <si>
    <t>Margin Target</t>
  </si>
  <si>
    <t>Margin Earned</t>
  </si>
  <si>
    <t>Incentive</t>
  </si>
  <si>
    <t>Month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</si>
  <si>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</si>
  <si>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</si>
  <si>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</si>
  <si>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</si>
  <si>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</si>
  <si>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</si>
  <si>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</si>
  <si>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</si>
  <si>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</si>
  <si>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</si>
  <si>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</si>
  <si>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</si>
  <si>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Price Desk Status</t>
  </si>
  <si>
    <t>Count</t>
  </si>
  <si>
    <t>Approved</t>
  </si>
  <si>
    <t>Pending</t>
  </si>
  <si>
    <t>Rejected</t>
  </si>
  <si>
    <t>On Hold</t>
  </si>
  <si>
    <t>AICERA SALES OPS — TARGETS &amp; SETTINGS (Admin / Sales Head Only)</t>
  </si>
  <si>
    <t>Admin enters Top Line (Revenue) Targets in BLUE cells. Bottom Line = 8% of Top Line (auto). All other sheets read from here.</t>
  </si>
  <si>
    <t>GLOBAL SETTINGS</t>
  </si>
  <si>
    <t>Financial Year</t>
  </si>
  <si>
    <t>FY 2026-27</t>
  </si>
  <si>
    <t>Bottom Line % of Top Line</t>
  </si>
  <si>
    <t>Change here → Bottom Line targets update everywhere</t>
  </si>
  <si>
    <t>Incentive % of Margin Earned</t>
  </si>
  <si>
    <t>Incentive = 5% × Gross Margin earned from booked orders</t>
  </si>
  <si>
    <t>Price Desk Floor Margin %</t>
  </si>
  <si>
    <t>Quotes below this margin need Price Desk approval</t>
  </si>
  <si>
    <t>Top Line Target — Revenue (₹)</t>
  </si>
  <si>
    <t>Bottom Line Target — Margin (₹)</t>
  </si>
  <si>
    <t>Bottom Line %</t>
  </si>
  <si>
    <t>Incentive Potential @ 5% of Target (₹)</t>
  </si>
  <si>
    <t>Region / Segment</t>
  </si>
  <si>
    <t>Active?</t>
  </si>
  <si>
    <t>Notes</t>
  </si>
  <si>
    <t>Bhuvara PR</t>
  </si>
  <si>
    <t>Corporate — South</t>
  </si>
  <si>
    <t>Y</t>
  </si>
  <si>
    <t>Rahul Raju</t>
  </si>
  <si>
    <t>Corporate — West</t>
  </si>
  <si>
    <t>Laxman Kamath</t>
  </si>
  <si>
    <t>Strategic / Direct</t>
  </si>
  <si>
    <t>COMPANY TOTAL</t>
  </si>
  <si>
    <t>PRICE DESK — QUOTE APPROVAL REGISTER</t>
  </si>
  <si>
    <t>Sales team logs every quote BEFORE sending to customer. Quotes below floor margin (6%) are flagged and need Sales Head approval.</t>
  </si>
  <si>
    <t>Quote ID</t>
  </si>
  <si>
    <t>Date</t>
  </si>
  <si>
    <t>Customer</t>
  </si>
  <si>
    <t>OEM / Product</t>
  </si>
  <si>
    <t>Quote Value (₹)</t>
  </si>
  <si>
    <t>Est. Cost (₹)</t>
  </si>
  <si>
    <t>Gross Margin (₹)</t>
  </si>
  <si>
    <t>Margin %</t>
  </si>
  <si>
    <t>Below Floor?</t>
  </si>
  <si>
    <t>Approval Needed</t>
  </si>
  <si>
    <t>Approval Status</t>
  </si>
  <si>
    <t>Approved By</t>
  </si>
  <si>
    <t>Approval Date</t>
  </si>
  <si>
    <t>Remarks</t>
  </si>
  <si>
    <t>QT-2601</t>
  </si>
  <si>
    <t>Altimetrik</t>
  </si>
  <si>
    <t>Dell PowerEdge R760 x4</t>
  </si>
  <si>
    <t>Strategic account — approved at 8.1%</t>
  </si>
  <si>
    <t>QT-2602</t>
  </si>
  <si>
    <t>Hikal Ltd</t>
  </si>
  <si>
    <t>Dell Latitude 5550 x60</t>
  </si>
  <si>
    <t>Volume deal, 5% OK vs competition</t>
  </si>
  <si>
    <t>QT-2603</t>
  </si>
  <si>
    <t>CareSoft</t>
  </si>
  <si>
    <t>VMware VCF Renewal</t>
  </si>
  <si>
    <t>APJ pricing window</t>
  </si>
  <si>
    <t>QT-2604</t>
  </si>
  <si>
    <t>Omega Healthcare</t>
  </si>
  <si>
    <t>Dell PowerStore 500T</t>
  </si>
  <si>
    <t>Stock &amp; Sell model</t>
  </si>
  <si>
    <t>QT-2605</t>
  </si>
  <si>
    <t>ARIS Global</t>
  </si>
  <si>
    <t>DC Refresh — Servers + Storage</t>
  </si>
  <si>
    <t>Lease model attached</t>
  </si>
  <si>
    <t>QT-2606</t>
  </si>
  <si>
    <t>EIMS</t>
  </si>
  <si>
    <t>PowerEdge + Rack Infra</t>
  </si>
  <si>
    <t>Power sizing done</t>
  </si>
  <si>
    <t>QT-2607</t>
  </si>
  <si>
    <t>Twilight Systems</t>
  </si>
  <si>
    <t>Dell OptiPlex x40 + Monitors</t>
  </si>
  <si>
    <t>Awaiting distributor best cost</t>
  </si>
  <si>
    <t>QT-2608</t>
  </si>
  <si>
    <t>Kanva Fashions</t>
  </si>
  <si>
    <t>PowerVault ME5 + Switches</t>
  </si>
  <si>
    <t>QT-2609</t>
  </si>
  <si>
    <t>NextGen Pharma</t>
  </si>
  <si>
    <t>HCI — VxRail 4 Node</t>
  </si>
  <si>
    <t>Competing with HPE — need floor waiver</t>
  </si>
  <si>
    <t>QT-2610</t>
  </si>
  <si>
    <t>Docking + Peripherals</t>
  </si>
  <si>
    <t>Above floor — self-approved</t>
  </si>
  <si>
    <t>ORDER REGISTER — BOOKED ORDERS</t>
  </si>
  <si>
    <t>Every booked order is logged here. Gross Margin auto-calculates and rolls up to the Incentive sheet &amp; Dashboard (Margin Quota).</t>
  </si>
  <si>
    <t>Order ID</t>
  </si>
  <si>
    <t>PO Date</t>
  </si>
  <si>
    <t>Linked Quote</t>
  </si>
  <si>
    <t>Order Value — Revenue (₹)</t>
  </si>
  <si>
    <t>Cost (₹)</t>
  </si>
  <si>
    <t>Order Status</t>
  </si>
  <si>
    <t>Payment Status</t>
  </si>
  <si>
    <t>ORD-2601</t>
  </si>
  <si>
    <t>Delivered</t>
  </si>
  <si>
    <t>Received</t>
  </si>
  <si>
    <t>ORD-2602</t>
  </si>
  <si>
    <t>ORD-2603</t>
  </si>
  <si>
    <t>Part Received</t>
  </si>
  <si>
    <t>ORD-2604</t>
  </si>
  <si>
    <t>In Transit</t>
  </si>
  <si>
    <t>ORD-2605</t>
  </si>
  <si>
    <t>Processing</t>
  </si>
  <si>
    <t>Advance Received</t>
  </si>
  <si>
    <t>ORD-2606</t>
  </si>
  <si>
    <t>ORD-2607</t>
  </si>
  <si>
    <t>ORD-2608</t>
  </si>
  <si>
    <t>TOTAL BOOKED</t>
  </si>
  <si>
    <t>ORDER EXECUTION CHECKLIST</t>
  </si>
  <si>
    <t>Mark each gate Y/N per order. % Complete auto-calculates. An order is 'Closed' only at 100%.</t>
  </si>
  <si>
    <t>Ops Owner</t>
  </si>
  <si>
    <t>Customer PO Received</t>
  </si>
  <si>
    <t>PO Value &amp; Terms Verified</t>
  </si>
  <si>
    <t>OEM Quote Validity Checked</t>
  </si>
  <si>
    <t>Distributor PO Placed</t>
  </si>
  <si>
    <t>OEM Order Acknowledged</t>
  </si>
  <si>
    <t>Delivery / GRN Done</t>
  </si>
  <si>
    <t>Installation Complete</t>
  </si>
  <si>
    <t>Invoice Raised</t>
  </si>
  <si>
    <t>Payment Terms Confirmed</t>
  </si>
  <si>
    <t>Payment Collected</t>
  </si>
  <si>
    <t>% Complete</t>
  </si>
  <si>
    <t>Stage</t>
  </si>
  <si>
    <t>Chetan</t>
  </si>
  <si>
    <t>Bhoomika</t>
  </si>
  <si>
    <t>N</t>
  </si>
  <si>
    <t>Deekshit</t>
  </si>
  <si>
    <t>INCENTIVE ENGINE — REVENUE / MARGIN TO GO &amp; PAYOUT</t>
  </si>
  <si>
    <t>Auto-calculated. Margin Quota = SUM of Gross Margin from booked orders. Incentive = 5% × Margin Earned. To-Go = Target − Achieved.</t>
  </si>
  <si>
    <t>Top Line Target (₹)</t>
  </si>
  <si>
    <t>Revenue Booked (₹)</t>
  </si>
  <si>
    <t>Revenue To Go (₹)</t>
  </si>
  <si>
    <t>Revenue Achieved %</t>
  </si>
  <si>
    <t>Bottom Line Target (₹)</t>
  </si>
  <si>
    <t>Margin Earned (₹)</t>
  </si>
  <si>
    <t>Margin To Go (₹)</t>
  </si>
  <si>
    <t>Margin Achieved %</t>
  </si>
  <si>
    <t>Incentive Payable @5% (₹)</t>
  </si>
  <si>
    <t>Rule: Incentive = 5% × Gross Margin actually earned (sum of booked orders). Full-year incentive potential = 5% × Bottom Line Target if 100% achieved.</t>
  </si>
  <si>
    <t>DEVELOPER SPECIFICATION — AICERA SALES OPS WEB APP</t>
  </si>
  <si>
    <t>Hand this sheet to the dev team. Modules, fields, business rules and roles below mirror the working sheets in this workbook.</t>
  </si>
  <si>
    <t>SECTION</t>
  </si>
  <si>
    <t>ITEM</t>
  </si>
  <si>
    <t>DETAILS</t>
  </si>
  <si>
    <t>1. Modules</t>
  </si>
  <si>
    <t>M1 — Price Desk</t>
  </si>
  <si>
    <t>Quote approval workflow. Sales raises quote → system checks Margin % vs Floor (6%, configurable) → below floor routes to Sales Head for Approve/Reject/Hold → audit trail (who, when, remarks).</t>
  </si>
  <si>
    <t>M2 — Order Register</t>
  </si>
  <si>
    <t>Booked orders with Revenue, Cost, auto Gross Margin. Links back to approved Quote ID. Status: Processing/In Transit/Delivered/Installed/Cancelled + Payment status.</t>
  </si>
  <si>
    <t>M3 — Order Checklist</t>
  </si>
  <si>
    <t>10 execution gates per order (see Order Checklist sheet columns E–N). % complete auto. Order 'Closed' only at 100%. Ops owner assignable (Chetan/Bhoomika/Deekshit).</t>
  </si>
  <si>
    <t>M4 — Targets (Admin)</t>
  </si>
  <si>
    <t>Sales Head/Admin sets Top Line (Revenue) target per salesperson per FY. Bottom Line auto = Top Line × 8% (configurable global setting).</t>
  </si>
  <si>
    <t>M5 — Incentive Engine</t>
  </si>
  <si>
    <t>Auto-computed. No manual entry.</t>
  </si>
  <si>
    <t>M6 — Dashboard</t>
  </si>
  <si>
    <t>KPI cards + 4 charts as on the Dashboard sheet. Filters: FY, salesperson, month.</t>
  </si>
  <si>
    <t>2. Business Rules</t>
  </si>
  <si>
    <t>R1 — Bottom Line</t>
  </si>
  <si>
    <t>Bottom Line Target = Top Line Target × 8%. The 8% lives in Settings ('Targets &amp; Settings'!B6) and must be editable by Admin only.</t>
  </si>
  <si>
    <t>R2 — Margin Quota</t>
  </si>
  <si>
    <t>Margin Quota (earned) = SUM(Gross Margin) of all booked orders for that salesperson. Gross Margin = Order Value − Cost.</t>
  </si>
  <si>
    <t>R3 — Revenue To Go</t>
  </si>
  <si>
    <t>Revenue To Go = Top Line Target − SUM(Order Value). Floor at 0 (never negative).</t>
  </si>
  <si>
    <t>R4 — Margin To Go</t>
  </si>
  <si>
    <t>Margin To Go = Bottom Line Target − Margin Quota earned. Floor at 0.</t>
  </si>
  <si>
    <t>R5 — Incentive</t>
  </si>
  <si>
    <t>Incentive Payable = 5% × Gross Margin earned (accrues per order; settle half-yearly or annually as per HR policy). 5% is configurable ('Targets &amp; Settings'!B7). At 100% achievement, payout = 5% × Bottom Line Target.</t>
  </si>
  <si>
    <t>R6 — Price Desk Gate</t>
  </si>
  <si>
    <t>If Quote Margin % &lt; Floor Margin % → status forced to 'Pending', Sales Head approval mandatory before quote is released to customer. Above floor → auto-approved, still logged.</t>
  </si>
  <si>
    <t>R7 — Quote→Order Link</t>
  </si>
  <si>
    <t>An order should reference an Approved quote ID. Block order creation against Rejected quotes.</t>
  </si>
  <si>
    <t>3. Roles</t>
  </si>
  <si>
    <t>Admin / Sales Head</t>
  </si>
  <si>
    <t>Full access. Sets targets, floor %, incentive %. Approves/rejects Price Desk requests. Sees all dashboards.</t>
  </si>
  <si>
    <t>Raises quotes, logs orders, views OWN dashboard: targets, to-go, incentive. Cannot edit targets or approve own below-floor quotes.</t>
  </si>
  <si>
    <t>Ops (Procurement)</t>
  </si>
  <si>
    <t>Updates Order Checklist gates, order status, payment status. Read-only on incentive.</t>
  </si>
  <si>
    <t>4. Data Model (key fields)</t>
  </si>
  <si>
    <t>Quote</t>
  </si>
  <si>
    <t>quote_id, date, salesperson_id, customer, oem_product, quote_value, est_cost, margin_amt*, margin_pct*, below_floor*, approval_status, approved_by, approval_date, remarks (* = computed)</t>
  </si>
  <si>
    <t>Order</t>
  </si>
  <si>
    <t>order_id, po_date, month*, salesperson_id, customer, quote_id (FK), order_value, cost, gross_margin*, margin_pct*, order_status, payment_status</t>
  </si>
  <si>
    <t>Checklist</t>
  </si>
  <si>
    <t>order_id (FK), 10 boolean gates, pct_complete*, stage*, ops_owner</t>
  </si>
  <si>
    <t>Target</t>
  </si>
  <si>
    <t>fy, salesperson_id, topline_target, bottomline_target* (=8%), incentive_potential*</t>
  </si>
  <si>
    <t>5. Nice-to-haves</t>
  </si>
  <si>
    <t>Email/WhatsApp alert to Sales Head on new below-floor quote; SLA timer on pending approvals; monthly auto-report PDF; export to Excel matching this workbook's layout.</t>
  </si>
  <si>
    <t>INCENTIVE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</si>
</sst>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#,##0;&quot;(₹&quot;#,##0\);\-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1F3864"/>
      <name val="Arial"/>
      <family val="2"/>
    </font>
    <font>
      <b/>
      <sz val="16"/>
      <color rgb="FF0076CE"/>
      <name val="Arial"/>
      <family val="2"/>
    </font>
    <font>
      <b/>
      <sz val="16"/>
      <color rgb="FFC00000"/>
      <name val="Arial"/>
      <family val="2"/>
    </font>
    <font>
      <b/>
      <sz val="16"/>
      <color rgb="FF2E9B8F"/>
      <name val="Arial"/>
      <family val="2"/>
    </font>
    <font>
      <b/>
      <sz val="16"/>
      <color rgb="FF548235"/>
      <name val="Arial"/>
      <family val="2"/>
    </font>
    <font>
      <b/>
      <sz val="10"/>
      <color rgb="FF80808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i/>
      <sz val="8"/>
      <color rgb="FF808080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sz val="10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sz val="10"/>
      <color rgb="FF008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0076CE"/>
        <bgColor rgb="FF397BCA"/>
      </patternFill>
    </fill>
    <fill>
      <patternFill patternType="solid">
        <fgColor rgb="FFC00000"/>
        <bgColor rgb="FF9C0006"/>
      </patternFill>
    </fill>
    <fill>
      <patternFill patternType="solid">
        <fgColor rgb="FF2E9B8F"/>
        <bgColor rgb="FF4F81BD"/>
      </patternFill>
    </fill>
    <fill>
      <patternFill patternType="solid">
        <fgColor rgb="FFF2F7FC"/>
        <bgColor rgb="FFF9F9F9"/>
      </patternFill>
    </fill>
    <fill>
      <patternFill patternType="solid">
        <fgColor rgb="FF548235"/>
        <bgColor rgb="FF779637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2F0D9"/>
      </patternFill>
    </fill>
    <fill>
      <patternFill patternType="solid">
        <fgColor rgb="FFE2F0D9"/>
        <b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5" fontId="14" fillId="8" borderId="1" xfId="0" applyNumberFormat="1" applyFont="1" applyFill="1" applyBorder="1" applyAlignment="1">
      <alignment horizontal="left" vertical="center"/>
    </xf>
    <xf numFmtId="0" fontId="15" fillId="0" borderId="0" xfId="0" applyFont="1"/>
    <xf numFmtId="0" fontId="16" fillId="2" borderId="1" xfId="0" applyFont="1" applyFill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164" fontId="10" fillId="9" borderId="1" xfId="0" applyNumberFormat="1" applyFont="1" applyFill="1" applyBorder="1" applyAlignment="1">
      <alignment horizontal="left" vertical="center"/>
    </xf>
    <xf numFmtId="165" fontId="10" fillId="9" borderId="1" xfId="0" applyNumberFormat="1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/>
    <xf numFmtId="15" fontId="18" fillId="0" borderId="1" xfId="0" applyNumberFormat="1" applyFont="1" applyBorder="1"/>
    <xf numFmtId="164" fontId="14" fillId="0" borderId="1" xfId="0" applyNumberFormat="1" applyFont="1" applyBorder="1"/>
    <xf numFmtId="164" fontId="18" fillId="0" borderId="1" xfId="0" applyNumberFormat="1" applyFont="1" applyBorder="1"/>
    <xf numFmtId="165" fontId="18" fillId="0" borderId="1" xfId="0" applyNumberFormat="1" applyFont="1" applyBorder="1"/>
    <xf numFmtId="0" fontId="10" fillId="9" borderId="1" xfId="0" applyFont="1" applyFill="1" applyBorder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9" fontId="18" fillId="0" borderId="1" xfId="0" applyNumberFormat="1" applyFont="1" applyBorder="1"/>
    <xf numFmtId="164" fontId="21" fillId="0" borderId="1" xfId="0" applyNumberFormat="1" applyFont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top" wrapText="1"/>
    </xf>
    <xf numFmtId="164" fontId="4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79637"/>
      <rgbColor rgb="FF800080"/>
      <rgbColor rgb="FF2E5F99"/>
      <rgbColor rgb="FFD9D9D9"/>
      <rgbColor rgb="FF808080"/>
      <rgbColor rgb="FF93A9CE"/>
      <rgbColor rgb="FFAA433F"/>
      <rgbColor rgb="FFF9F9F9"/>
      <rgbColor rgb="FFE2F0D9"/>
      <rgbColor rgb="FF660066"/>
      <rgbColor rgb="FFCC8F8E"/>
      <rgbColor rgb="FF0076CE"/>
      <rgbColor rgb="FFB8CCE4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00CCFF"/>
      <rgbColor rgb="FFDCE6F1"/>
      <rgbColor rgb="FFC6EFCE"/>
      <rgbColor rgb="FFFFEB9C"/>
      <rgbColor rgb="FF99CCFF"/>
      <rgbColor rgb="FFF2F7FC"/>
      <rgbColor rgb="FFCC99FF"/>
      <rgbColor rgb="FFFFC7CE"/>
      <rgbColor rgb="FF397BCA"/>
      <rgbColor rgb="FF4F81BD"/>
      <rgbColor rgb="FF9CC745"/>
      <rgbColor rgb="FFFFCC00"/>
      <rgbColor rgb="FF9C6500"/>
      <rgbColor rgb="FFCE3A36"/>
      <rgbColor rgb="FF7B57A7"/>
      <rgbColor rgb="FF878787"/>
      <rgbColor rgb="FF1F3864"/>
      <rgbColor rgb="FF2E9B8F"/>
      <rgbColor rgb="FF006100"/>
      <rgbColor rgb="FF333300"/>
      <rgbColor rgb="FF9C2F2C"/>
      <rgbColor rgb="FFC0504D"/>
      <rgbColor rgb="FF5E437F"/>
      <rgbColor rgb="FF5482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Revenue: Target vs Booked (₹)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37983270883422"/>
          <c:y val="0.223033054558819"/>
          <c:w val="0.57878375975171825"/>
          <c:h val="0.66539308048176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Revenue Target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2"/>
              <c:layout>
                <c:manualLayout>
                  <c:x val="-9.8518365238997214E-3"/>
                  <c:y val="-5.3445030173296604E-2"/>
                </c:manualLayout>
              </c:layout>
              <c:dLblPos val="outEnd"/>
              <c:showLegendKey val="1"/>
              <c:showVal val="0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B53-4644-88EB-F488EED92A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Dashboard!$A$42:$A$44</c:f>
              <c:strCache>
                <c:ptCount val="3"/>
                <c:pt idx="0">
                  <c:v>Bhuvara PR</c:v>
                </c:pt>
                <c:pt idx="1">
                  <c:v>Rahul Raju</c:v>
                </c:pt>
                <c:pt idx="2">
                  <c:v>Laxman Kamath</c:v>
                </c:pt>
              </c:strCache>
            </c:strRef>
          </c:cat>
          <c:val>
            <c:numRef>
              <c:f>Dashboard!$B$42:$B$44</c:f>
              <c:numCache>
                <c:formatCode>\₹#,##0;"(₹"#,##0\);\-</c:formatCode>
                <c:ptCount val="3"/>
                <c:pt idx="0">
                  <c:v>30000000</c:v>
                </c:pt>
                <c:pt idx="1">
                  <c:v>25000000</c:v>
                </c:pt>
                <c:pt idx="2">
                  <c:v>45000000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DF44-90BE-99E56FDFE0C9}"/>
            </c:ext>
          </c:extLst>
        </c:ser>
        <c:ser>
          <c:idx val="1"/>
          <c:order val="1"/>
          <c:tx>
            <c:strRef>
              <c:f>Dashboard!$C$41</c:f>
              <c:strCache>
                <c:ptCount val="1"/>
                <c:pt idx="0">
                  <c:v>Revenue Booked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Dashboard!$A$42:$A$44</c:f>
              <c:strCache>
                <c:ptCount val="3"/>
                <c:pt idx="0">
                  <c:v>Bhuvara PR</c:v>
                </c:pt>
                <c:pt idx="1">
                  <c:v>Rahul Raju</c:v>
                </c:pt>
                <c:pt idx="2">
                  <c:v>Laxman Kamath</c:v>
                </c:pt>
              </c:strCache>
            </c:strRef>
          </c:cat>
          <c:val>
            <c:numRef>
              <c:f>Dashboard!$C$42:$C$44</c:f>
              <c:numCache>
                <c:formatCode>\₹#,##0;"(₹"#,##0\);\-</c:formatCode>
                <c:ptCount val="3"/>
                <c:pt idx="0">
                  <c:v>61800000</c:v>
                </c:pt>
                <c:pt idx="1">
                  <c:v>64400000</c:v>
                </c:pt>
                <c:pt idx="2">
                  <c:v>21500000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A-DF44-90BE-99E56FDFE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31885"/>
        <c:axId val="64059813"/>
      </c:barChart>
      <c:catAx>
        <c:axId val="5531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59813"/>
        <c:crosses val="autoZero"/>
        <c:auto val="1"/>
        <c:lblAlgn val="ctr"/>
        <c:lblOffset val="100"/>
        <c:noMultiLvlLbl val="0"/>
      </c:catAx>
      <c:valAx>
        <c:axId val="64059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1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Margin Quota: Target vs Earned (₹)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Dashboard!$D$41</c:f>
              <c:strCache>
                <c:ptCount val="1"/>
                <c:pt idx="0">
                  <c:v>Margin Target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Dashboard!$A$42:$A$44</c:f>
              <c:strCache>
                <c:ptCount val="3"/>
                <c:pt idx="0">
                  <c:v>Bhuvara PR</c:v>
                </c:pt>
                <c:pt idx="1">
                  <c:v>Rahul Raju</c:v>
                </c:pt>
                <c:pt idx="2">
                  <c:v>Laxman Kamath</c:v>
                </c:pt>
              </c:strCache>
            </c:strRef>
          </c:cat>
          <c:val>
            <c:numRef>
              <c:f>Dashboard!$D$42:$D$44</c:f>
              <c:numCache>
                <c:formatCode>\₹#,##0;"(₹"#,##0\);\-</c:formatCode>
                <c:ptCount val="3"/>
                <c:pt idx="0">
                  <c:v>2400000</c:v>
                </c:pt>
                <c:pt idx="1">
                  <c:v>2000000</c:v>
                </c:pt>
                <c:pt idx="2">
                  <c:v>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E-1940-8946-DCCF75F0D76A}"/>
            </c:ext>
          </c:extLst>
        </c:ser>
        <c:ser>
          <c:idx val="1"/>
          <c:order val="1"/>
          <c:tx>
            <c:strRef>
              <c:f>Dashboard!$E$41</c:f>
              <c:strCache>
                <c:ptCount val="1"/>
                <c:pt idx="0">
                  <c:v>Margin Earned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Dashboard!$A$42:$A$44</c:f>
              <c:strCache>
                <c:ptCount val="3"/>
                <c:pt idx="0">
                  <c:v>Bhuvara PR</c:v>
                </c:pt>
                <c:pt idx="1">
                  <c:v>Rahul Raju</c:v>
                </c:pt>
                <c:pt idx="2">
                  <c:v>Laxman Kamath</c:v>
                </c:pt>
              </c:strCache>
            </c:strRef>
          </c:cat>
          <c:val>
            <c:numRef>
              <c:f>Dashboard!$E$42:$E$44</c:f>
              <c:numCache>
                <c:formatCode>\₹#,##0;"(₹"#,##0\);\-</c:formatCode>
                <c:ptCount val="3"/>
                <c:pt idx="0">
                  <c:v>4974000</c:v>
                </c:pt>
                <c:pt idx="1">
                  <c:v>3315000</c:v>
                </c:pt>
                <c:pt idx="2">
                  <c:v>1935000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E-1940-8946-DCCF75F0D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8808"/>
        <c:axId val="5383980"/>
      </c:barChart>
      <c:catAx>
        <c:axId val="20388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83980"/>
        <c:crosses val="autoZero"/>
        <c:auto val="1"/>
        <c:lblAlgn val="ctr"/>
        <c:lblOffset val="100"/>
        <c:noMultiLvlLbl val="0"/>
      </c:catAx>
      <c:valAx>
        <c:axId val="53839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888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&amp; Margin Trend (₹)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Dashboard!$B$47</c:f>
              <c:strCache>
                <c:ptCount val="1"/>
                <c:pt idx="0">
                  <c:v>Revenue Booked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Dashboard!$A$48:$A$59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Dashboard!$B$48:$B$59</c:f>
              <c:numCache>
                <c:formatCode>\₹#,##0;"(₹"#,##0\);\-</c:formatCode>
                <c:ptCount val="12"/>
                <c:pt idx="0">
                  <c:v>96000000</c:v>
                </c:pt>
                <c:pt idx="1">
                  <c:v>18300000</c:v>
                </c:pt>
                <c:pt idx="2">
                  <c:v>27700000</c:v>
                </c:pt>
                <c:pt idx="3">
                  <c:v>5700000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F-8249-A188-EC79D9C66E93}"/>
            </c:ext>
          </c:extLst>
        </c:ser>
        <c:ser>
          <c:idx val="1"/>
          <c:order val="1"/>
          <c:tx>
            <c:strRef>
              <c:f>Dashboard!$C$47</c:f>
              <c:strCache>
                <c:ptCount val="1"/>
                <c:pt idx="0">
                  <c:v>Margin Earned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Dashboard!$A$48:$A$59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Dashboard!$C$48:$C$59</c:f>
              <c:numCache>
                <c:formatCode>\₹#,##0;"(₹"#,##0\);\-</c:formatCode>
                <c:ptCount val="12"/>
                <c:pt idx="0">
                  <c:v>6100000</c:v>
                </c:pt>
                <c:pt idx="1">
                  <c:v>1450000</c:v>
                </c:pt>
                <c:pt idx="2">
                  <c:v>2245000</c:v>
                </c:pt>
                <c:pt idx="3">
                  <c:v>429000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F-8249-A188-EC79D9C66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243954"/>
        <c:axId val="44011105"/>
      </c:lineChart>
      <c:catAx>
        <c:axId val="18243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11105"/>
        <c:crosses val="autoZero"/>
        <c:auto val="1"/>
        <c:lblAlgn val="ctr"/>
        <c:lblOffset val="100"/>
        <c:noMultiLvlLbl val="0"/>
      </c:catAx>
      <c:valAx>
        <c:axId val="44011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43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Price Desk — Quote Approvals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9CD-B94E-BA47-A14CDDE8930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9CD-B94E-BA47-A14CDDE89309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9CD-B94E-BA47-A14CDDE89309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9CD-B94E-BA47-A14CDDE89309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9CD-B94E-BA47-A14CDDE89309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9CD-B94E-BA47-A14CDDE89309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9CD-B94E-BA47-A14CDDE89309}"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9CD-B94E-BA47-A14CDDE893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Dashboard!$A$63:$A$66</c:f>
              <c:strCache>
                <c:ptCount val="4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  <c:pt idx="3">
                  <c:v>On Hold</c:v>
                </c:pt>
              </c:strCache>
            </c:strRef>
          </c:cat>
          <c:val>
            <c:numRef>
              <c:f>Dashboard!$B$63:$B$66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CD-B94E-BA47-A14CDDE89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818280</xdr:colOff>
      <xdr:row>26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0</xdr:rowOff>
    </xdr:from>
    <xdr:to>
      <xdr:col>11</xdr:col>
      <xdr:colOff>818280</xdr:colOff>
      <xdr:row>26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818280</xdr:colOff>
      <xdr:row>43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0</xdr:rowOff>
    </xdr:from>
    <xdr:to>
      <xdr:col>11</xdr:col>
      <xdr:colOff>818280</xdr:colOff>
      <xdr:row>43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showGridLines="0" zoomScale="87" zoomScaleNormal="100" workbookViewId="0">
      <selection activeCell="D27" sqref="D27"/>
    </sheetView>
  </sheetViews>
  <sheetFormatPr defaultColWidth="8.7109375" defaultRowHeight="15" x14ac:dyDescent="0.25"/>
  <cols>
    <col min="1" max="12" width="13" customWidth="1"/>
  </cols>
  <sheetData>
    <row r="1" spans="1:12" ht="30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18" customHeight="1" x14ac:dyDescent="0.25">
      <c r="A4" s="39" t="s">
        <v>2</v>
      </c>
      <c r="B4" s="39"/>
      <c r="C4" s="39"/>
      <c r="D4" s="40" t="s">
        <v>3</v>
      </c>
      <c r="E4" s="40"/>
      <c r="F4" s="40"/>
      <c r="G4" s="41" t="s">
        <v>4</v>
      </c>
      <c r="H4" s="41"/>
      <c r="I4" s="41"/>
      <c r="J4" s="45" t="s">
        <v>5</v>
      </c>
      <c r="K4" s="45"/>
      <c r="L4" s="45"/>
    </row>
    <row r="5" spans="1:12" x14ac:dyDescent="0.25">
      <c r="A5" s="34">
        <f>Incentive!B8</f>
        <v>100000000</v>
      </c>
      <c r="B5" s="34"/>
      <c r="C5" s="34"/>
      <c r="D5" s="35">
        <f>Incentive!C8</f>
        <v>147700000</v>
      </c>
      <c r="E5" s="35"/>
      <c r="F5" s="35"/>
      <c r="G5" s="36">
        <f>Incentive!D8</f>
        <v>23500000</v>
      </c>
      <c r="H5" s="36"/>
      <c r="I5" s="36"/>
      <c r="J5" s="38">
        <f>Incentive!E8</f>
        <v>1.4770000000000001</v>
      </c>
      <c r="K5" s="38"/>
      <c r="L5" s="38"/>
    </row>
    <row r="6" spans="1:12" x14ac:dyDescent="0.25">
      <c r="A6" s="34"/>
      <c r="B6" s="34"/>
      <c r="C6" s="34"/>
      <c r="D6" s="35"/>
      <c r="E6" s="35"/>
      <c r="F6" s="35"/>
      <c r="G6" s="36"/>
      <c r="H6" s="36"/>
      <c r="I6" s="36"/>
      <c r="J6" s="38"/>
      <c r="K6" s="38"/>
      <c r="L6" s="38"/>
    </row>
    <row r="8" spans="1:12" ht="18" customHeight="1" x14ac:dyDescent="0.25">
      <c r="A8" s="39" t="s">
        <v>6</v>
      </c>
      <c r="B8" s="39"/>
      <c r="C8" s="39"/>
      <c r="D8" s="40" t="s">
        <v>7</v>
      </c>
      <c r="E8" s="40"/>
      <c r="F8" s="40"/>
      <c r="G8" s="41" t="s">
        <v>8</v>
      </c>
      <c r="H8" s="41"/>
      <c r="I8" s="41"/>
      <c r="J8" s="42" t="s">
        <v>220</v>
      </c>
      <c r="K8" s="42"/>
      <c r="L8" s="42"/>
    </row>
    <row r="9" spans="1:12" x14ac:dyDescent="0.25">
      <c r="A9" s="34">
        <f>Incentive!F8</f>
        <v>8000000</v>
      </c>
      <c r="B9" s="34"/>
      <c r="C9" s="34"/>
      <c r="D9" s="35">
        <f>Incentive!G8</f>
        <v>10224000</v>
      </c>
      <c r="E9" s="35"/>
      <c r="F9" s="35"/>
      <c r="G9" s="36">
        <f>Incentive!H8</f>
        <v>1665000</v>
      </c>
      <c r="H9" s="36"/>
      <c r="I9" s="36"/>
      <c r="J9" s="37">
        <f>Incentive!J8</f>
        <v>511200</v>
      </c>
      <c r="K9" s="37"/>
      <c r="L9" s="37"/>
    </row>
    <row r="10" spans="1:12" x14ac:dyDescent="0.25">
      <c r="A10" s="34"/>
      <c r="B10" s="34"/>
      <c r="C10" s="34"/>
      <c r="D10" s="35"/>
      <c r="E10" s="35"/>
      <c r="F10" s="35"/>
      <c r="G10" s="36"/>
      <c r="H10" s="36"/>
      <c r="I10" s="36"/>
      <c r="J10" s="37"/>
      <c r="K10" s="37"/>
      <c r="L10" s="37"/>
    </row>
    <row r="40" spans="1:6" x14ac:dyDescent="0.25">
      <c r="A40" s="1" t="s">
        <v>9</v>
      </c>
    </row>
    <row r="41" spans="1:6" x14ac:dyDescent="0.25">
      <c r="A41" s="2" t="s">
        <v>10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</row>
    <row r="42" spans="1:6" x14ac:dyDescent="0.25">
      <c r="A42" s="3" t="str">
        <f>Incentive!A5</f>
        <v>Bhuvara PR</v>
      </c>
      <c r="B42" s="4">
        <f>Incentive!B5</f>
        <v>30000000</v>
      </c>
      <c r="C42" s="4">
        <f>Incentive!C5</f>
        <v>61800000</v>
      </c>
      <c r="D42" s="4">
        <f>Incentive!F5</f>
        <v>2400000</v>
      </c>
      <c r="E42" s="4">
        <f>Incentive!G5</f>
        <v>4974000</v>
      </c>
      <c r="F42" s="4">
        <f>Incentive!J5</f>
        <v>248700</v>
      </c>
    </row>
    <row r="43" spans="1:6" x14ac:dyDescent="0.25">
      <c r="A43" s="3" t="str">
        <f>Incentive!A6</f>
        <v>Rahul Raju</v>
      </c>
      <c r="B43" s="4">
        <f>Incentive!B6</f>
        <v>25000000</v>
      </c>
      <c r="C43" s="4">
        <f>Incentive!C6</f>
        <v>64400000</v>
      </c>
      <c r="D43" s="4">
        <f>Incentive!F6</f>
        <v>2000000</v>
      </c>
      <c r="E43" s="4">
        <f>Incentive!G6</f>
        <v>3315000</v>
      </c>
      <c r="F43" s="4">
        <f>Incentive!J6</f>
        <v>165750</v>
      </c>
    </row>
    <row r="44" spans="1:6" x14ac:dyDescent="0.25">
      <c r="A44" s="3" t="str">
        <f>Incentive!A7</f>
        <v>Laxman Kamath</v>
      </c>
      <c r="B44" s="4">
        <f>Incentive!B7</f>
        <v>45000000</v>
      </c>
      <c r="C44" s="4">
        <f>Incentive!C7</f>
        <v>21500000</v>
      </c>
      <c r="D44" s="4">
        <f>Incentive!F7</f>
        <v>3600000</v>
      </c>
      <c r="E44" s="4">
        <f>Incentive!G7</f>
        <v>1935000</v>
      </c>
      <c r="F44" s="4">
        <f>Incentive!J7</f>
        <v>96750</v>
      </c>
    </row>
    <row r="47" spans="1:6" x14ac:dyDescent="0.25">
      <c r="A47" s="2" t="s">
        <v>16</v>
      </c>
      <c r="B47" s="2" t="s">
        <v>12</v>
      </c>
      <c r="C47" s="2" t="s">
        <v>14</v>
      </c>
    </row>
    <row r="48" spans="1:6" x14ac:dyDescent="0.25">
      <c r="A48" s="5" t="s">
        <v>17</v>
      </c>
      <c r="B48" s="4">
        <f>SUMIFS(Orders!G$5:G$24,Orders!C$5:C$24,A48)</f>
        <v>96000000</v>
      </c>
      <c r="C48" s="4">
        <f>SUMIFS(Orders!I$5:I$24,Orders!C$5:C$24,A48)</f>
        <v>6100000</v>
      </c>
    </row>
    <row r="49" spans="1:3" x14ac:dyDescent="0.25">
      <c r="A49" s="5" t="s">
        <v>18</v>
      </c>
      <c r="B49" s="4">
        <f>SUMIFS(Orders!G$5:G$24,Orders!C$5:C$24,A49)</f>
        <v>18300000</v>
      </c>
      <c r="C49" s="4">
        <f>SUMIFS(Orders!I$5:I$24,Orders!C$5:C$24,A49)</f>
        <v>1450000</v>
      </c>
    </row>
    <row r="50" spans="1:3" x14ac:dyDescent="0.25">
      <c r="A50" s="5" t="s">
        <v>19</v>
      </c>
      <c r="B50" s="4">
        <f>SUMIFS(Orders!G$5:G$24,Orders!C$5:C$24,A50)</f>
        <v>27700000</v>
      </c>
      <c r="C50" s="4">
        <f>SUMIFS(Orders!I$5:I$24,Orders!C$5:C$24,A50)</f>
        <v>2245000</v>
      </c>
    </row>
    <row r="51" spans="1:3" x14ac:dyDescent="0.25">
      <c r="A51" s="5" t="s">
        <v>20</v>
      </c>
      <c r="B51" s="4">
        <f>SUMIFS(Orders!G$5:G$24,Orders!C$5:C$24,A51)</f>
        <v>5700000</v>
      </c>
      <c r="C51" s="4">
        <f>SUMIFS(Orders!I$5:I$24,Orders!C$5:C$24,A51)</f>
        <v>429000</v>
      </c>
    </row>
    <row r="52" spans="1:3" x14ac:dyDescent="0.25">
      <c r="A52" s="5" t="s">
        <v>21</v>
      </c>
      <c r="B52" s="4">
        <f>SUMIFS(Orders!G$5:G$24,Orders!C$5:C$24,A52)</f>
        <v>0</v>
      </c>
      <c r="C52" s="4">
        <f>SUMIFS(Orders!I$5:I$24,Orders!C$5:C$24,A52)</f>
        <v>0</v>
      </c>
    </row>
    <row r="53" spans="1:3" x14ac:dyDescent="0.25">
      <c r="A53" s="5" t="s">
        <v>22</v>
      </c>
      <c r="B53" s="4">
        <f>SUMIFS(Orders!G$5:G$24,Orders!C$5:C$24,A53)</f>
        <v>0</v>
      </c>
      <c r="C53" s="4">
        <f>SUMIFS(Orders!I$5:I$24,Orders!C$5:C$24,A53)</f>
        <v>0</v>
      </c>
    </row>
    <row r="54" spans="1:3" x14ac:dyDescent="0.25">
      <c r="A54" s="5" t="s">
        <v>23</v>
      </c>
      <c r="B54" s="4">
        <f>SUMIFS(Orders!G$5:G$24,Orders!C$5:C$24,A54)</f>
        <v>0</v>
      </c>
      <c r="C54" s="4">
        <f>SUMIFS(Orders!I$5:I$24,Orders!C$5:C$24,A54)</f>
        <v>0</v>
      </c>
    </row>
    <row r="55" spans="1:3" x14ac:dyDescent="0.25">
      <c r="A55" s="5" t="s">
        <v>24</v>
      </c>
      <c r="B55" s="4">
        <f>SUMIFS(Orders!G$5:G$24,Orders!C$5:C$24,A55)</f>
        <v>0</v>
      </c>
      <c r="C55" s="4">
        <f>SUMIFS(Orders!I$5:I$24,Orders!C$5:C$24,A55)</f>
        <v>0</v>
      </c>
    </row>
    <row r="56" spans="1:3" x14ac:dyDescent="0.25">
      <c r="A56" s="5" t="s">
        <v>25</v>
      </c>
      <c r="B56" s="4">
        <f>SUMIFS(Orders!G$5:G$24,Orders!C$5:C$24,A56)</f>
        <v>0</v>
      </c>
      <c r="C56" s="4">
        <f>SUMIFS(Orders!I$5:I$24,Orders!C$5:C$24,A56)</f>
        <v>0</v>
      </c>
    </row>
    <row r="57" spans="1:3" x14ac:dyDescent="0.25">
      <c r="A57" s="5" t="s">
        <v>26</v>
      </c>
      <c r="B57" s="4">
        <f>SUMIFS(Orders!G$5:G$24,Orders!C$5:C$24,A57)</f>
        <v>0</v>
      </c>
      <c r="C57" s="4">
        <f>SUMIFS(Orders!I$5:I$24,Orders!C$5:C$24,A57)</f>
        <v>0</v>
      </c>
    </row>
    <row r="58" spans="1:3" x14ac:dyDescent="0.25">
      <c r="A58" s="5" t="s">
        <v>27</v>
      </c>
      <c r="B58" s="4">
        <f>SUMIFS(Orders!G$5:G$24,Orders!C$5:C$24,A58)</f>
        <v>0</v>
      </c>
      <c r="C58" s="4">
        <f>SUMIFS(Orders!I$5:I$24,Orders!C$5:C$24,A58)</f>
        <v>0</v>
      </c>
    </row>
    <row r="59" spans="1:3" x14ac:dyDescent="0.25">
      <c r="A59" s="5" t="s">
        <v>28</v>
      </c>
      <c r="B59" s="4">
        <f>SUMIFS(Orders!G$5:G$24,Orders!C$5:C$24,A59)</f>
        <v>0</v>
      </c>
      <c r="C59" s="4">
        <f>SUMIFS(Orders!I$5:I$24,Orders!C$5:C$24,A59)</f>
        <v>0</v>
      </c>
    </row>
    <row r="62" spans="1:3" x14ac:dyDescent="0.25">
      <c r="A62" s="2" t="s">
        <v>29</v>
      </c>
      <c r="B62" s="2" t="s">
        <v>30</v>
      </c>
    </row>
    <row r="63" spans="1:3" x14ac:dyDescent="0.25">
      <c r="A63" s="3" t="s">
        <v>31</v>
      </c>
      <c r="B63" s="3">
        <f>COUNTIF('Price Desk'!L$5:L$24,"Approved")</f>
        <v>8</v>
      </c>
    </row>
    <row r="64" spans="1:3" x14ac:dyDescent="0.25">
      <c r="A64" s="3" t="s">
        <v>32</v>
      </c>
      <c r="B64" s="3">
        <f>COUNTIF('Price Desk'!L$5:L$24,"Pending")</f>
        <v>2</v>
      </c>
    </row>
    <row r="65" spans="1:2" x14ac:dyDescent="0.25">
      <c r="A65" s="3" t="s">
        <v>33</v>
      </c>
      <c r="B65" s="3">
        <f>COUNTIF('Price Desk'!L$5:L$24,"Rejected")</f>
        <v>0</v>
      </c>
    </row>
    <row r="66" spans="1:2" x14ac:dyDescent="0.25">
      <c r="A66" s="3" t="s">
        <v>34</v>
      </c>
      <c r="B66" s="3">
        <f>COUNTIF('Price Desk'!L$5:L$24,"On Hold")</f>
        <v>0</v>
      </c>
    </row>
  </sheetData>
  <mergeCells count="18">
    <mergeCell ref="A1:L1"/>
    <mergeCell ref="A2:L2"/>
    <mergeCell ref="A4:C4"/>
    <mergeCell ref="D4:F4"/>
    <mergeCell ref="G4:I4"/>
    <mergeCell ref="J4:L4"/>
    <mergeCell ref="A9:C10"/>
    <mergeCell ref="D9:F10"/>
    <mergeCell ref="G9:I10"/>
    <mergeCell ref="J9:L10"/>
    <mergeCell ref="A5:C6"/>
    <mergeCell ref="D5:F6"/>
    <mergeCell ref="G5:I6"/>
    <mergeCell ref="J5:L6"/>
    <mergeCell ref="A8:C8"/>
    <mergeCell ref="D8:F8"/>
    <mergeCell ref="G8:I8"/>
    <mergeCell ref="J8:L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Normal="100" workbookViewId="0">
      <pane ySplit="10" topLeftCell="A11" activePane="bottomLeft" state="frozen"/>
      <selection pane="bottomLeft" sqref="A1:H1"/>
    </sheetView>
  </sheetViews>
  <sheetFormatPr defaultColWidth="8.7109375" defaultRowHeight="15" x14ac:dyDescent="0.25"/>
  <cols>
    <col min="1" max="1" width="22" customWidth="1"/>
    <col min="2" max="3" width="26" customWidth="1"/>
    <col min="4" max="4" width="12" customWidth="1"/>
    <col min="5" max="5" width="28" customWidth="1"/>
    <col min="6" max="6" width="20" customWidth="1"/>
    <col min="7" max="7" width="8" customWidth="1"/>
    <col min="8" max="8" width="26" customWidth="1"/>
  </cols>
  <sheetData>
    <row r="1" spans="1:8" ht="30" customHeight="1" x14ac:dyDescent="0.25">
      <c r="A1" s="43" t="s">
        <v>35</v>
      </c>
      <c r="B1" s="43"/>
      <c r="C1" s="43"/>
      <c r="D1" s="43"/>
      <c r="E1" s="43"/>
      <c r="F1" s="43"/>
      <c r="G1" s="43"/>
      <c r="H1" s="43"/>
    </row>
    <row r="2" spans="1:8" x14ac:dyDescent="0.25">
      <c r="A2" s="44" t="s">
        <v>36</v>
      </c>
      <c r="B2" s="44"/>
      <c r="C2" s="44"/>
      <c r="D2" s="44"/>
      <c r="E2" s="44"/>
      <c r="F2" s="44"/>
      <c r="G2" s="44"/>
      <c r="H2" s="44"/>
    </row>
    <row r="4" spans="1:8" x14ac:dyDescent="0.25">
      <c r="A4" s="6" t="s">
        <v>37</v>
      </c>
    </row>
    <row r="5" spans="1:8" x14ac:dyDescent="0.25">
      <c r="A5" s="3" t="s">
        <v>38</v>
      </c>
      <c r="B5" s="7" t="s">
        <v>39</v>
      </c>
    </row>
    <row r="6" spans="1:8" x14ac:dyDescent="0.25">
      <c r="A6" s="3" t="s">
        <v>40</v>
      </c>
      <c r="B6" s="8">
        <v>0.08</v>
      </c>
      <c r="C6" s="9" t="s">
        <v>41</v>
      </c>
    </row>
    <row r="7" spans="1:8" x14ac:dyDescent="0.25">
      <c r="A7" s="3" t="s">
        <v>42</v>
      </c>
      <c r="B7" s="8">
        <v>0.05</v>
      </c>
      <c r="C7" s="9" t="s">
        <v>43</v>
      </c>
    </row>
    <row r="8" spans="1:8" x14ac:dyDescent="0.25">
      <c r="A8" s="3" t="s">
        <v>44</v>
      </c>
      <c r="B8" s="8">
        <v>0.06</v>
      </c>
      <c r="C8" s="9" t="s">
        <v>45</v>
      </c>
    </row>
    <row r="10" spans="1:8" ht="25.5" x14ac:dyDescent="0.25">
      <c r="A10" s="10" t="s">
        <v>10</v>
      </c>
      <c r="B10" s="10" t="s">
        <v>46</v>
      </c>
      <c r="C10" s="10" t="s">
        <v>47</v>
      </c>
      <c r="D10" s="10" t="s">
        <v>48</v>
      </c>
      <c r="E10" s="10" t="s">
        <v>49</v>
      </c>
      <c r="F10" s="10" t="s">
        <v>50</v>
      </c>
      <c r="G10" s="10" t="s">
        <v>51</v>
      </c>
      <c r="H10" s="10" t="s">
        <v>52</v>
      </c>
    </row>
    <row r="11" spans="1:8" x14ac:dyDescent="0.25">
      <c r="A11" s="2" t="s">
        <v>53</v>
      </c>
      <c r="B11" s="11">
        <v>30000000</v>
      </c>
      <c r="C11" s="4">
        <f>B11*$B$6</f>
        <v>2400000</v>
      </c>
      <c r="D11" s="12">
        <f>IF(B11=0,0,C11/B11)</f>
        <v>0.08</v>
      </c>
      <c r="E11" s="4">
        <f>C11*$B$7</f>
        <v>120000</v>
      </c>
      <c r="F11" s="3" t="s">
        <v>54</v>
      </c>
      <c r="G11" s="5" t="s">
        <v>55</v>
      </c>
      <c r="H11" s="3"/>
    </row>
    <row r="12" spans="1:8" x14ac:dyDescent="0.25">
      <c r="A12" s="2" t="s">
        <v>56</v>
      </c>
      <c r="B12" s="11">
        <v>25000000</v>
      </c>
      <c r="C12" s="4">
        <f>B12*$B$6</f>
        <v>2000000</v>
      </c>
      <c r="D12" s="12">
        <f>IF(B12=0,0,C12/B12)</f>
        <v>0.08</v>
      </c>
      <c r="E12" s="4">
        <f>C12*$B$7</f>
        <v>100000</v>
      </c>
      <c r="F12" s="3" t="s">
        <v>57</v>
      </c>
      <c r="G12" s="5" t="s">
        <v>55</v>
      </c>
      <c r="H12" s="3"/>
    </row>
    <row r="13" spans="1:8" x14ac:dyDescent="0.25">
      <c r="A13" s="2" t="s">
        <v>58</v>
      </c>
      <c r="B13" s="11">
        <v>45000000</v>
      </c>
      <c r="C13" s="4">
        <f>B13*$B$6</f>
        <v>3600000</v>
      </c>
      <c r="D13" s="12">
        <f>IF(B13=0,0,C13/B13)</f>
        <v>0.08</v>
      </c>
      <c r="E13" s="4">
        <f>C13*$B$7</f>
        <v>180000</v>
      </c>
      <c r="F13" s="3" t="s">
        <v>59</v>
      </c>
      <c r="G13" s="5" t="s">
        <v>55</v>
      </c>
      <c r="H13" s="3"/>
    </row>
    <row r="14" spans="1:8" x14ac:dyDescent="0.25">
      <c r="A14" s="13" t="s">
        <v>60</v>
      </c>
      <c r="B14" s="14">
        <f>SUM(B11:B13)</f>
        <v>100000000</v>
      </c>
      <c r="C14" s="14">
        <f>SUM(C11:C13)</f>
        <v>8000000</v>
      </c>
      <c r="D14" s="15">
        <f>IF(B14=0,0,C14/B14)</f>
        <v>0.08</v>
      </c>
      <c r="E14" s="14">
        <f>SUM(E11:E13)</f>
        <v>400000</v>
      </c>
      <c r="F14" s="16"/>
      <c r="G14" s="16"/>
      <c r="H14" s="16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Normal="100" workbookViewId="0">
      <pane ySplit="4" topLeftCell="A5" activePane="bottomLeft" state="frozen"/>
      <selection pane="bottomLeft" sqref="A1:O1"/>
    </sheetView>
  </sheetViews>
  <sheetFormatPr defaultColWidth="8.7109375" defaultRowHeight="15" x14ac:dyDescent="0.25"/>
  <cols>
    <col min="1" max="1" width="10" customWidth="1"/>
    <col min="2" max="2" width="11" customWidth="1"/>
    <col min="3" max="3" width="16" customWidth="1"/>
    <col min="4" max="4" width="18" customWidth="1"/>
    <col min="5" max="5" width="26" customWidth="1"/>
    <col min="6" max="8" width="15" customWidth="1"/>
    <col min="9" max="9" width="9" customWidth="1"/>
    <col min="10" max="10" width="11" customWidth="1"/>
    <col min="11" max="11" width="16" customWidth="1"/>
    <col min="12" max="12" width="12" customWidth="1"/>
    <col min="13" max="13" width="16" customWidth="1"/>
    <col min="14" max="14" width="12" customWidth="1"/>
    <col min="15" max="15" width="30" customWidth="1"/>
  </cols>
  <sheetData>
    <row r="1" spans="1:15" ht="30" customHeight="1" x14ac:dyDescent="0.25">
      <c r="A1" s="43" t="s">
        <v>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x14ac:dyDescent="0.25">
      <c r="A2" s="44" t="s">
        <v>62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4" spans="1:15" ht="25.5" x14ac:dyDescent="0.25">
      <c r="A4" s="10" t="s">
        <v>63</v>
      </c>
      <c r="B4" s="10" t="s">
        <v>64</v>
      </c>
      <c r="C4" s="10" t="s">
        <v>10</v>
      </c>
      <c r="D4" s="10" t="s">
        <v>65</v>
      </c>
      <c r="E4" s="10" t="s">
        <v>66</v>
      </c>
      <c r="F4" s="10" t="s">
        <v>67</v>
      </c>
      <c r="G4" s="10" t="s">
        <v>68</v>
      </c>
      <c r="H4" s="10" t="s">
        <v>69</v>
      </c>
      <c r="I4" s="10" t="s">
        <v>70</v>
      </c>
      <c r="J4" s="10" t="s">
        <v>71</v>
      </c>
      <c r="K4" s="10" t="s">
        <v>72</v>
      </c>
      <c r="L4" s="10" t="s">
        <v>73</v>
      </c>
      <c r="M4" s="10" t="s">
        <v>74</v>
      </c>
      <c r="N4" s="10" t="s">
        <v>75</v>
      </c>
      <c r="O4" s="10" t="s">
        <v>76</v>
      </c>
    </row>
    <row r="5" spans="1:15" x14ac:dyDescent="0.25">
      <c r="A5" s="17" t="s">
        <v>77</v>
      </c>
      <c r="B5" s="18">
        <v>46118</v>
      </c>
      <c r="C5" s="3" t="s">
        <v>53</v>
      </c>
      <c r="D5" s="3" t="s">
        <v>78</v>
      </c>
      <c r="E5" s="3" t="s">
        <v>79</v>
      </c>
      <c r="F5" s="11">
        <v>4200000</v>
      </c>
      <c r="G5" s="11">
        <v>3860000</v>
      </c>
      <c r="H5" s="4">
        <f t="shared" ref="H5:H14" si="0">F5-G5</f>
        <v>340000</v>
      </c>
      <c r="I5" s="12">
        <f t="shared" ref="I5:I14" si="1">IF(F5=0,0,H5/F5)</f>
        <v>8.0952380952380956E-2</v>
      </c>
      <c r="J5" s="19" t="str">
        <f>IF(I5&lt;'Targets &amp; Settings'!$B$8,"YES","NO")</f>
        <v>NO</v>
      </c>
      <c r="K5" s="5" t="str">
        <f t="shared" ref="K5:K14" si="2">IF(J5="YES","Sales Head","Auto (Above Floor)")</f>
        <v>Auto (Above Floor)</v>
      </c>
      <c r="L5" s="17" t="s">
        <v>31</v>
      </c>
      <c r="M5" s="3" t="s">
        <v>58</v>
      </c>
      <c r="N5" s="18">
        <v>46119</v>
      </c>
      <c r="O5" s="3" t="s">
        <v>80</v>
      </c>
    </row>
    <row r="6" spans="1:15" x14ac:dyDescent="0.25">
      <c r="A6" s="17" t="s">
        <v>81</v>
      </c>
      <c r="B6" s="18">
        <v>46127</v>
      </c>
      <c r="C6" s="3" t="s">
        <v>56</v>
      </c>
      <c r="D6" s="3" t="s">
        <v>82</v>
      </c>
      <c r="E6" s="3" t="s">
        <v>83</v>
      </c>
      <c r="F6" s="11">
        <v>5400000</v>
      </c>
      <c r="G6" s="11">
        <v>5130000</v>
      </c>
      <c r="H6" s="4">
        <f t="shared" si="0"/>
        <v>270000</v>
      </c>
      <c r="I6" s="12">
        <f t="shared" si="1"/>
        <v>0.05</v>
      </c>
      <c r="J6" s="19" t="str">
        <f>IF(I6&lt;'Targets &amp; Settings'!$B$8,"YES","NO")</f>
        <v>YES</v>
      </c>
      <c r="K6" s="5" t="str">
        <f t="shared" si="2"/>
        <v>Sales Head</v>
      </c>
      <c r="L6" s="17" t="s">
        <v>31</v>
      </c>
      <c r="M6" s="3" t="s">
        <v>58</v>
      </c>
      <c r="N6" s="18">
        <v>46127</v>
      </c>
      <c r="O6" s="3" t="s">
        <v>84</v>
      </c>
    </row>
    <row r="7" spans="1:15" x14ac:dyDescent="0.25">
      <c r="A7" s="17" t="s">
        <v>85</v>
      </c>
      <c r="B7" s="18">
        <v>46146</v>
      </c>
      <c r="C7" s="3" t="s">
        <v>53</v>
      </c>
      <c r="D7" s="3" t="s">
        <v>86</v>
      </c>
      <c r="E7" s="3" t="s">
        <v>87</v>
      </c>
      <c r="F7" s="11">
        <v>8800000</v>
      </c>
      <c r="G7" s="11">
        <v>7920000</v>
      </c>
      <c r="H7" s="4">
        <f t="shared" si="0"/>
        <v>880000</v>
      </c>
      <c r="I7" s="12">
        <f t="shared" si="1"/>
        <v>0.1</v>
      </c>
      <c r="J7" s="19" t="str">
        <f>IF(I7&lt;'Targets &amp; Settings'!$B$8,"YES","NO")</f>
        <v>NO</v>
      </c>
      <c r="K7" s="5" t="str">
        <f t="shared" si="2"/>
        <v>Auto (Above Floor)</v>
      </c>
      <c r="L7" s="17" t="s">
        <v>31</v>
      </c>
      <c r="M7" s="3" t="s">
        <v>58</v>
      </c>
      <c r="N7" s="18">
        <v>46147</v>
      </c>
      <c r="O7" s="3" t="s">
        <v>88</v>
      </c>
    </row>
    <row r="8" spans="1:15" x14ac:dyDescent="0.25">
      <c r="A8" s="17" t="s">
        <v>89</v>
      </c>
      <c r="B8" s="18">
        <v>46162</v>
      </c>
      <c r="C8" s="3" t="s">
        <v>56</v>
      </c>
      <c r="D8" s="3" t="s">
        <v>90</v>
      </c>
      <c r="E8" s="3" t="s">
        <v>91</v>
      </c>
      <c r="F8" s="11">
        <v>9500000</v>
      </c>
      <c r="G8" s="11">
        <v>8930000</v>
      </c>
      <c r="H8" s="4">
        <f t="shared" si="0"/>
        <v>570000</v>
      </c>
      <c r="I8" s="12">
        <f t="shared" si="1"/>
        <v>0.06</v>
      </c>
      <c r="J8" s="19" t="str">
        <f>IF(I8&lt;'Targets &amp; Settings'!$B$8,"YES","NO")</f>
        <v>NO</v>
      </c>
      <c r="K8" s="5" t="str">
        <f t="shared" si="2"/>
        <v>Auto (Above Floor)</v>
      </c>
      <c r="L8" s="17" t="s">
        <v>31</v>
      </c>
      <c r="M8" s="3" t="s">
        <v>58</v>
      </c>
      <c r="N8" s="18">
        <v>46163</v>
      </c>
      <c r="O8" s="3" t="s">
        <v>92</v>
      </c>
    </row>
    <row r="9" spans="1:15" x14ac:dyDescent="0.25">
      <c r="A9" s="17" t="s">
        <v>93</v>
      </c>
      <c r="B9" s="18">
        <v>46176</v>
      </c>
      <c r="C9" s="3" t="s">
        <v>58</v>
      </c>
      <c r="D9" s="3" t="s">
        <v>94</v>
      </c>
      <c r="E9" s="3" t="s">
        <v>95</v>
      </c>
      <c r="F9" s="11">
        <v>21500000</v>
      </c>
      <c r="G9" s="11">
        <v>19565000</v>
      </c>
      <c r="H9" s="4">
        <f t="shared" si="0"/>
        <v>1935000</v>
      </c>
      <c r="I9" s="12">
        <f t="shared" si="1"/>
        <v>0.09</v>
      </c>
      <c r="J9" s="19" t="str">
        <f>IF(I9&lt;'Targets &amp; Settings'!$B$8,"YES","NO")</f>
        <v>NO</v>
      </c>
      <c r="K9" s="5" t="str">
        <f t="shared" si="2"/>
        <v>Auto (Above Floor)</v>
      </c>
      <c r="L9" s="17" t="s">
        <v>31</v>
      </c>
      <c r="M9" s="3" t="s">
        <v>58</v>
      </c>
      <c r="N9" s="18">
        <v>46177</v>
      </c>
      <c r="O9" s="3" t="s">
        <v>96</v>
      </c>
    </row>
    <row r="10" spans="1:15" x14ac:dyDescent="0.25">
      <c r="A10" s="17" t="s">
        <v>97</v>
      </c>
      <c r="B10" s="18">
        <v>46191</v>
      </c>
      <c r="C10" s="3" t="s">
        <v>53</v>
      </c>
      <c r="D10" s="3" t="s">
        <v>98</v>
      </c>
      <c r="E10" s="3" t="s">
        <v>99</v>
      </c>
      <c r="F10" s="11">
        <v>6200000</v>
      </c>
      <c r="G10" s="11">
        <v>5890000</v>
      </c>
      <c r="H10" s="4">
        <f t="shared" si="0"/>
        <v>310000</v>
      </c>
      <c r="I10" s="12">
        <f t="shared" si="1"/>
        <v>0.05</v>
      </c>
      <c r="J10" s="19" t="str">
        <f>IF(I10&lt;'Targets &amp; Settings'!$B$8,"YES","NO")</f>
        <v>YES</v>
      </c>
      <c r="K10" s="5" t="str">
        <f t="shared" si="2"/>
        <v>Sales Head</v>
      </c>
      <c r="L10" s="17" t="s">
        <v>31</v>
      </c>
      <c r="M10" s="3" t="s">
        <v>58</v>
      </c>
      <c r="N10" s="18">
        <v>46192</v>
      </c>
      <c r="O10" s="3" t="s">
        <v>100</v>
      </c>
    </row>
    <row r="11" spans="1:15" x14ac:dyDescent="0.25">
      <c r="A11" s="17" t="s">
        <v>101</v>
      </c>
      <c r="B11" s="18">
        <v>46198</v>
      </c>
      <c r="C11" s="3" t="s">
        <v>56</v>
      </c>
      <c r="D11" s="3" t="s">
        <v>102</v>
      </c>
      <c r="E11" s="3" t="s">
        <v>103</v>
      </c>
      <c r="F11" s="11">
        <v>3100000</v>
      </c>
      <c r="G11" s="11">
        <v>2976000</v>
      </c>
      <c r="H11" s="4">
        <f t="shared" si="0"/>
        <v>124000</v>
      </c>
      <c r="I11" s="12">
        <f t="shared" si="1"/>
        <v>0.04</v>
      </c>
      <c r="J11" s="19" t="str">
        <f>IF(I11&lt;'Targets &amp; Settings'!$B$8,"YES","NO")</f>
        <v>YES</v>
      </c>
      <c r="K11" s="5" t="str">
        <f t="shared" si="2"/>
        <v>Sales Head</v>
      </c>
      <c r="L11" s="17" t="s">
        <v>32</v>
      </c>
      <c r="M11" s="3"/>
      <c r="N11" s="18"/>
      <c r="O11" s="3" t="s">
        <v>104</v>
      </c>
    </row>
    <row r="12" spans="1:15" x14ac:dyDescent="0.25">
      <c r="A12" s="17" t="s">
        <v>105</v>
      </c>
      <c r="B12" s="18">
        <v>46205</v>
      </c>
      <c r="C12" s="3" t="s">
        <v>53</v>
      </c>
      <c r="D12" s="3" t="s">
        <v>106</v>
      </c>
      <c r="E12" s="3" t="s">
        <v>107</v>
      </c>
      <c r="F12" s="11">
        <v>4800000</v>
      </c>
      <c r="G12" s="11">
        <v>4416000</v>
      </c>
      <c r="H12" s="4">
        <f t="shared" si="0"/>
        <v>384000</v>
      </c>
      <c r="I12" s="12">
        <f t="shared" si="1"/>
        <v>0.08</v>
      </c>
      <c r="J12" s="19" t="str">
        <f>IF(I12&lt;'Targets &amp; Settings'!$B$8,"YES","NO")</f>
        <v>NO</v>
      </c>
      <c r="K12" s="5" t="str">
        <f t="shared" si="2"/>
        <v>Auto (Above Floor)</v>
      </c>
      <c r="L12" s="17" t="s">
        <v>31</v>
      </c>
      <c r="M12" s="3" t="s">
        <v>58</v>
      </c>
      <c r="N12" s="18">
        <v>46206</v>
      </c>
      <c r="O12" s="3"/>
    </row>
    <row r="13" spans="1:15" x14ac:dyDescent="0.25">
      <c r="A13" s="17" t="s">
        <v>108</v>
      </c>
      <c r="B13" s="18">
        <v>46209</v>
      </c>
      <c r="C13" s="3" t="s">
        <v>58</v>
      </c>
      <c r="D13" s="3" t="s">
        <v>109</v>
      </c>
      <c r="E13" s="3" t="s">
        <v>110</v>
      </c>
      <c r="F13" s="11">
        <v>14500000</v>
      </c>
      <c r="G13" s="11">
        <v>13775000</v>
      </c>
      <c r="H13" s="4">
        <f t="shared" si="0"/>
        <v>725000</v>
      </c>
      <c r="I13" s="12">
        <f t="shared" si="1"/>
        <v>0.05</v>
      </c>
      <c r="J13" s="19" t="str">
        <f>IF(I13&lt;'Targets &amp; Settings'!$B$8,"YES","NO")</f>
        <v>YES</v>
      </c>
      <c r="K13" s="5" t="str">
        <f t="shared" si="2"/>
        <v>Sales Head</v>
      </c>
      <c r="L13" s="17" t="s">
        <v>32</v>
      </c>
      <c r="M13" s="3"/>
      <c r="N13" s="18"/>
      <c r="O13" s="3" t="s">
        <v>111</v>
      </c>
    </row>
    <row r="14" spans="1:15" x14ac:dyDescent="0.25">
      <c r="A14" s="17" t="s">
        <v>112</v>
      </c>
      <c r="B14" s="18">
        <v>46210</v>
      </c>
      <c r="C14" s="3" t="s">
        <v>56</v>
      </c>
      <c r="D14" s="3" t="s">
        <v>78</v>
      </c>
      <c r="E14" s="3" t="s">
        <v>113</v>
      </c>
      <c r="F14" s="11">
        <v>900000</v>
      </c>
      <c r="G14" s="11">
        <v>855000</v>
      </c>
      <c r="H14" s="4">
        <f t="shared" si="0"/>
        <v>45000</v>
      </c>
      <c r="I14" s="12">
        <f t="shared" si="1"/>
        <v>0.05</v>
      </c>
      <c r="J14" s="19" t="str">
        <f>IF(I14&lt;'Targets &amp; Settings'!$B$8,"YES","NO")</f>
        <v>YES</v>
      </c>
      <c r="K14" s="5" t="str">
        <f t="shared" si="2"/>
        <v>Sales Head</v>
      </c>
      <c r="L14" s="17" t="s">
        <v>31</v>
      </c>
      <c r="M14" s="3" t="s">
        <v>56</v>
      </c>
      <c r="N14" s="18">
        <v>46210</v>
      </c>
      <c r="O14" s="3" t="s">
        <v>114</v>
      </c>
    </row>
    <row r="15" spans="1:15" x14ac:dyDescent="0.25">
      <c r="A15" s="20"/>
      <c r="B15" s="21"/>
      <c r="C15" s="20"/>
      <c r="D15" s="20"/>
      <c r="E15" s="20"/>
      <c r="F15" s="22"/>
      <c r="G15" s="22"/>
      <c r="H15" s="23" t="str">
        <f t="shared" ref="H15:H24" si="3">IF(F15="","",F15-G15)</f>
        <v/>
      </c>
      <c r="I15" s="24" t="str">
        <f t="shared" ref="I15:I24" si="4">IF(OR(F15="",F15=0),"",H15/F15)</f>
        <v/>
      </c>
      <c r="J15" s="20" t="str">
        <f>IF(F15="","",IF(I15&lt;'Targets &amp; Settings'!$B$8,"YES","NO"))</f>
        <v/>
      </c>
      <c r="K15" s="20" t="str">
        <f t="shared" ref="K15:K24" si="5">IF(F15="","",IF(J15="YES","Sales Head","Auto (Above Floor)"))</f>
        <v/>
      </c>
      <c r="L15" s="20"/>
      <c r="M15" s="20"/>
      <c r="N15" s="20"/>
      <c r="O15" s="20"/>
    </row>
    <row r="16" spans="1:15" x14ac:dyDescent="0.25">
      <c r="A16" s="20"/>
      <c r="B16" s="21"/>
      <c r="C16" s="20"/>
      <c r="D16" s="20"/>
      <c r="E16" s="20"/>
      <c r="F16" s="22"/>
      <c r="G16" s="22"/>
      <c r="H16" s="23" t="str">
        <f t="shared" si="3"/>
        <v/>
      </c>
      <c r="I16" s="24" t="str">
        <f t="shared" si="4"/>
        <v/>
      </c>
      <c r="J16" s="20" t="str">
        <f>IF(F16="","",IF(I16&lt;'Targets &amp; Settings'!$B$8,"YES","NO"))</f>
        <v/>
      </c>
      <c r="K16" s="20" t="str">
        <f t="shared" si="5"/>
        <v/>
      </c>
      <c r="L16" s="20"/>
      <c r="M16" s="20"/>
      <c r="N16" s="20"/>
      <c r="O16" s="20"/>
    </row>
    <row r="17" spans="1:15" x14ac:dyDescent="0.25">
      <c r="A17" s="20"/>
      <c r="B17" s="21"/>
      <c r="C17" s="20"/>
      <c r="D17" s="20"/>
      <c r="E17" s="20"/>
      <c r="F17" s="22"/>
      <c r="G17" s="22"/>
      <c r="H17" s="23" t="str">
        <f t="shared" si="3"/>
        <v/>
      </c>
      <c r="I17" s="24" t="str">
        <f t="shared" si="4"/>
        <v/>
      </c>
      <c r="J17" s="20" t="str">
        <f>IF(F17="","",IF(I17&lt;'Targets &amp; Settings'!$B$8,"YES","NO"))</f>
        <v/>
      </c>
      <c r="K17" s="20" t="str">
        <f t="shared" si="5"/>
        <v/>
      </c>
      <c r="L17" s="20"/>
      <c r="M17" s="20"/>
      <c r="N17" s="20"/>
      <c r="O17" s="20"/>
    </row>
    <row r="18" spans="1:15" x14ac:dyDescent="0.25">
      <c r="A18" s="20"/>
      <c r="B18" s="21"/>
      <c r="C18" s="20"/>
      <c r="D18" s="20"/>
      <c r="E18" s="20"/>
      <c r="F18" s="22"/>
      <c r="G18" s="22"/>
      <c r="H18" s="23" t="str">
        <f t="shared" si="3"/>
        <v/>
      </c>
      <c r="I18" s="24" t="str">
        <f t="shared" si="4"/>
        <v/>
      </c>
      <c r="J18" s="20" t="str">
        <f>IF(F18="","",IF(I18&lt;'Targets &amp; Settings'!$B$8,"YES","NO"))</f>
        <v/>
      </c>
      <c r="K18" s="20" t="str">
        <f t="shared" si="5"/>
        <v/>
      </c>
      <c r="L18" s="20"/>
      <c r="M18" s="20"/>
      <c r="N18" s="20"/>
      <c r="O18" s="20"/>
    </row>
    <row r="19" spans="1:15" x14ac:dyDescent="0.25">
      <c r="A19" s="20"/>
      <c r="B19" s="21"/>
      <c r="C19" s="20"/>
      <c r="D19" s="20"/>
      <c r="E19" s="20"/>
      <c r="F19" s="22"/>
      <c r="G19" s="22"/>
      <c r="H19" s="23" t="str">
        <f t="shared" si="3"/>
        <v/>
      </c>
      <c r="I19" s="24" t="str">
        <f t="shared" si="4"/>
        <v/>
      </c>
      <c r="J19" s="20" t="str">
        <f>IF(F19="","",IF(I19&lt;'Targets &amp; Settings'!$B$8,"YES","NO"))</f>
        <v/>
      </c>
      <c r="K19" s="20" t="str">
        <f t="shared" si="5"/>
        <v/>
      </c>
      <c r="L19" s="20"/>
      <c r="M19" s="20"/>
      <c r="N19" s="20"/>
      <c r="O19" s="20"/>
    </row>
    <row r="20" spans="1:15" x14ac:dyDescent="0.25">
      <c r="A20" s="20"/>
      <c r="B20" s="21"/>
      <c r="C20" s="20"/>
      <c r="D20" s="20"/>
      <c r="E20" s="20"/>
      <c r="F20" s="22"/>
      <c r="G20" s="22"/>
      <c r="H20" s="23" t="str">
        <f t="shared" si="3"/>
        <v/>
      </c>
      <c r="I20" s="24" t="str">
        <f t="shared" si="4"/>
        <v/>
      </c>
      <c r="J20" s="20" t="str">
        <f>IF(F20="","",IF(I20&lt;'Targets &amp; Settings'!$B$8,"YES","NO"))</f>
        <v/>
      </c>
      <c r="K20" s="20" t="str">
        <f t="shared" si="5"/>
        <v/>
      </c>
      <c r="L20" s="20"/>
      <c r="M20" s="20"/>
      <c r="N20" s="20"/>
      <c r="O20" s="20"/>
    </row>
    <row r="21" spans="1:15" x14ac:dyDescent="0.25">
      <c r="A21" s="20"/>
      <c r="B21" s="21"/>
      <c r="C21" s="20"/>
      <c r="D21" s="20"/>
      <c r="E21" s="20"/>
      <c r="F21" s="22"/>
      <c r="G21" s="22"/>
      <c r="H21" s="23" t="str">
        <f t="shared" si="3"/>
        <v/>
      </c>
      <c r="I21" s="24" t="str">
        <f t="shared" si="4"/>
        <v/>
      </c>
      <c r="J21" s="20" t="str">
        <f>IF(F21="","",IF(I21&lt;'Targets &amp; Settings'!$B$8,"YES","NO"))</f>
        <v/>
      </c>
      <c r="K21" s="20" t="str">
        <f t="shared" si="5"/>
        <v/>
      </c>
      <c r="L21" s="20"/>
      <c r="M21" s="20"/>
      <c r="N21" s="20"/>
      <c r="O21" s="20"/>
    </row>
    <row r="22" spans="1:15" x14ac:dyDescent="0.25">
      <c r="A22" s="20"/>
      <c r="B22" s="21"/>
      <c r="C22" s="20"/>
      <c r="D22" s="20"/>
      <c r="E22" s="20"/>
      <c r="F22" s="22"/>
      <c r="G22" s="22"/>
      <c r="H22" s="23" t="str">
        <f t="shared" si="3"/>
        <v/>
      </c>
      <c r="I22" s="24" t="str">
        <f t="shared" si="4"/>
        <v/>
      </c>
      <c r="J22" s="20" t="str">
        <f>IF(F22="","",IF(I22&lt;'Targets &amp; Settings'!$B$8,"YES","NO"))</f>
        <v/>
      </c>
      <c r="K22" s="20" t="str">
        <f t="shared" si="5"/>
        <v/>
      </c>
      <c r="L22" s="20"/>
      <c r="M22" s="20"/>
      <c r="N22" s="20"/>
      <c r="O22" s="20"/>
    </row>
    <row r="23" spans="1:15" x14ac:dyDescent="0.25">
      <c r="A23" s="20"/>
      <c r="B23" s="21"/>
      <c r="C23" s="20"/>
      <c r="D23" s="20"/>
      <c r="E23" s="20"/>
      <c r="F23" s="22"/>
      <c r="G23" s="22"/>
      <c r="H23" s="23" t="str">
        <f t="shared" si="3"/>
        <v/>
      </c>
      <c r="I23" s="24" t="str">
        <f t="shared" si="4"/>
        <v/>
      </c>
      <c r="J23" s="20" t="str">
        <f>IF(F23="","",IF(I23&lt;'Targets &amp; Settings'!$B$8,"YES","NO"))</f>
        <v/>
      </c>
      <c r="K23" s="20" t="str">
        <f t="shared" si="5"/>
        <v/>
      </c>
      <c r="L23" s="20"/>
      <c r="M23" s="20"/>
      <c r="N23" s="20"/>
      <c r="O23" s="20"/>
    </row>
    <row r="24" spans="1:15" x14ac:dyDescent="0.25">
      <c r="A24" s="20"/>
      <c r="B24" s="21"/>
      <c r="C24" s="20"/>
      <c r="D24" s="20"/>
      <c r="E24" s="20"/>
      <c r="F24" s="22"/>
      <c r="G24" s="22"/>
      <c r="H24" s="23" t="str">
        <f t="shared" si="3"/>
        <v/>
      </c>
      <c r="I24" s="24" t="str">
        <f t="shared" si="4"/>
        <v/>
      </c>
      <c r="J24" s="20" t="str">
        <f>IF(F24="","",IF(I24&lt;'Targets &amp; Settings'!$B$8,"YES","NO"))</f>
        <v/>
      </c>
      <c r="K24" s="20" t="str">
        <f t="shared" si="5"/>
        <v/>
      </c>
      <c r="L24" s="20"/>
      <c r="M24" s="20"/>
      <c r="N24" s="20"/>
      <c r="O24" s="20"/>
    </row>
  </sheetData>
  <mergeCells count="2">
    <mergeCell ref="A1:O1"/>
    <mergeCell ref="A2:O2"/>
  </mergeCells>
  <conditionalFormatting sqref="J5:J24">
    <cfRule type="cellIs" dxfId="5" priority="5" operator="equal">
      <formula>"YES"</formula>
    </cfRule>
  </conditionalFormatting>
  <conditionalFormatting sqref="L5:L24">
    <cfRule type="cellIs" dxfId="4" priority="2" operator="equal">
      <formula>"Approved"</formula>
    </cfRule>
    <cfRule type="cellIs" dxfId="3" priority="3" operator="equal">
      <formula>"Pending"</formula>
    </cfRule>
    <cfRule type="cellIs" dxfId="2" priority="4" operator="equal">
      <formula>"Rejected"</formula>
    </cfRule>
  </conditionalFormatting>
  <dataValidations count="2">
    <dataValidation type="list" allowBlank="1" sqref="L5:L24">
      <formula1>"Pending,Approved,Rejected,On Hold"</formula1>
      <formula2>0</formula2>
    </dataValidation>
    <dataValidation type="list" allowBlank="1" sqref="C5:C24">
      <formula1>"Bhuvara PR,Rahul Raju,Laxman Kamath"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P1"/>
    </sheetView>
  </sheetViews>
  <sheetFormatPr defaultColWidth="8.7109375" defaultRowHeight="15" x14ac:dyDescent="0.25"/>
  <cols>
    <col min="1" max="1" width="10" customWidth="1"/>
    <col min="2" max="2" width="17" customWidth="1"/>
    <col min="3" max="3" width="15" customWidth="1"/>
    <col min="4" max="4" width="11" customWidth="1"/>
    <col min="5" max="15" width="10" customWidth="1"/>
    <col min="16" max="16" width="13" customWidth="1"/>
  </cols>
  <sheetData>
    <row r="1" spans="1:16" ht="30" customHeight="1" x14ac:dyDescent="0.25">
      <c r="A1" s="43" t="s">
        <v>139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x14ac:dyDescent="0.25">
      <c r="A2" s="44" t="s">
        <v>140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4" spans="1:16" ht="54.75" customHeight="1" x14ac:dyDescent="0.25">
      <c r="A4" s="10" t="s">
        <v>117</v>
      </c>
      <c r="B4" s="10" t="s">
        <v>65</v>
      </c>
      <c r="C4" s="10" t="s">
        <v>10</v>
      </c>
      <c r="D4" s="10" t="s">
        <v>141</v>
      </c>
      <c r="E4" s="10" t="s">
        <v>142</v>
      </c>
      <c r="F4" s="10" t="s">
        <v>143</v>
      </c>
      <c r="G4" s="10" t="s">
        <v>144</v>
      </c>
      <c r="H4" s="10" t="s">
        <v>145</v>
      </c>
      <c r="I4" s="10" t="s">
        <v>146</v>
      </c>
      <c r="J4" s="10" t="s">
        <v>147</v>
      </c>
      <c r="K4" s="10" t="s">
        <v>148</v>
      </c>
      <c r="L4" s="10" t="s">
        <v>149</v>
      </c>
      <c r="M4" s="10" t="s">
        <v>150</v>
      </c>
      <c r="N4" s="10" t="s">
        <v>151</v>
      </c>
      <c r="O4" s="10" t="s">
        <v>152</v>
      </c>
      <c r="P4" s="10" t="s">
        <v>153</v>
      </c>
    </row>
    <row r="5" spans="1:16" x14ac:dyDescent="0.25">
      <c r="A5" s="17" t="s">
        <v>124</v>
      </c>
      <c r="B5" s="3" t="s">
        <v>78</v>
      </c>
      <c r="C5" s="3" t="s">
        <v>53</v>
      </c>
      <c r="D5" s="3" t="s">
        <v>154</v>
      </c>
      <c r="E5" s="26" t="s">
        <v>55</v>
      </c>
      <c r="F5" s="26" t="s">
        <v>55</v>
      </c>
      <c r="G5" s="26" t="s">
        <v>55</v>
      </c>
      <c r="H5" s="26" t="s">
        <v>55</v>
      </c>
      <c r="I5" s="26" t="s">
        <v>55</v>
      </c>
      <c r="J5" s="26" t="s">
        <v>55</v>
      </c>
      <c r="K5" s="26" t="s">
        <v>55</v>
      </c>
      <c r="L5" s="26" t="s">
        <v>55</v>
      </c>
      <c r="M5" s="26" t="s">
        <v>55</v>
      </c>
      <c r="N5" s="26" t="s">
        <v>55</v>
      </c>
      <c r="O5" s="27">
        <f t="shared" ref="O5:O12" si="0">COUNTIF(E5:N5,"Y")/10</f>
        <v>1</v>
      </c>
      <c r="P5" s="17" t="str">
        <f t="shared" ref="P5:P12" si="1">IF(O5=1,"CLOSED",IF(O5&gt;=0.7,"ADVANCED",IF(O5&gt;=0.4,"IN PROGRESS","EARLY")))</f>
        <v>CLOSED</v>
      </c>
    </row>
    <row r="6" spans="1:16" x14ac:dyDescent="0.25">
      <c r="A6" s="17" t="s">
        <v>127</v>
      </c>
      <c r="B6" s="3" t="s">
        <v>82</v>
      </c>
      <c r="C6" s="3" t="s">
        <v>56</v>
      </c>
      <c r="D6" s="3" t="s">
        <v>155</v>
      </c>
      <c r="E6" s="26" t="s">
        <v>55</v>
      </c>
      <c r="F6" s="26" t="s">
        <v>55</v>
      </c>
      <c r="G6" s="26" t="s">
        <v>55</v>
      </c>
      <c r="H6" s="26" t="s">
        <v>55</v>
      </c>
      <c r="I6" s="26" t="s">
        <v>55</v>
      </c>
      <c r="J6" s="26" t="s">
        <v>55</v>
      </c>
      <c r="K6" s="26" t="s">
        <v>55</v>
      </c>
      <c r="L6" s="26" t="s">
        <v>55</v>
      </c>
      <c r="M6" s="26" t="s">
        <v>55</v>
      </c>
      <c r="N6" s="26" t="s">
        <v>55</v>
      </c>
      <c r="O6" s="27">
        <f t="shared" si="0"/>
        <v>1</v>
      </c>
      <c r="P6" s="17" t="str">
        <f t="shared" si="1"/>
        <v>CLOSED</v>
      </c>
    </row>
    <row r="7" spans="1:16" x14ac:dyDescent="0.25">
      <c r="A7" s="17" t="s">
        <v>128</v>
      </c>
      <c r="B7" s="3" t="s">
        <v>86</v>
      </c>
      <c r="C7" s="3" t="s">
        <v>53</v>
      </c>
      <c r="D7" s="3" t="s">
        <v>154</v>
      </c>
      <c r="E7" s="26" t="s">
        <v>55</v>
      </c>
      <c r="F7" s="26" t="s">
        <v>55</v>
      </c>
      <c r="G7" s="26" t="s">
        <v>55</v>
      </c>
      <c r="H7" s="26" t="s">
        <v>55</v>
      </c>
      <c r="I7" s="26" t="s">
        <v>55</v>
      </c>
      <c r="J7" s="26" t="s">
        <v>55</v>
      </c>
      <c r="K7" s="26" t="s">
        <v>55</v>
      </c>
      <c r="L7" s="26" t="s">
        <v>55</v>
      </c>
      <c r="M7" s="26" t="s">
        <v>55</v>
      </c>
      <c r="N7" s="28" t="s">
        <v>156</v>
      </c>
      <c r="O7" s="27">
        <f t="shared" si="0"/>
        <v>0.9</v>
      </c>
      <c r="P7" s="17" t="str">
        <f t="shared" si="1"/>
        <v>ADVANCED</v>
      </c>
    </row>
    <row r="8" spans="1:16" x14ac:dyDescent="0.25">
      <c r="A8" s="17" t="s">
        <v>130</v>
      </c>
      <c r="B8" s="3" t="s">
        <v>90</v>
      </c>
      <c r="C8" s="3" t="s">
        <v>56</v>
      </c>
      <c r="D8" s="3" t="s">
        <v>157</v>
      </c>
      <c r="E8" s="26" t="s">
        <v>55</v>
      </c>
      <c r="F8" s="26" t="s">
        <v>55</v>
      </c>
      <c r="G8" s="26" t="s">
        <v>55</v>
      </c>
      <c r="H8" s="26" t="s">
        <v>55</v>
      </c>
      <c r="I8" s="26" t="s">
        <v>55</v>
      </c>
      <c r="J8" s="28" t="s">
        <v>156</v>
      </c>
      <c r="K8" s="28" t="s">
        <v>156</v>
      </c>
      <c r="L8" s="28" t="s">
        <v>156</v>
      </c>
      <c r="M8" s="26" t="s">
        <v>55</v>
      </c>
      <c r="N8" s="28" t="s">
        <v>156</v>
      </c>
      <c r="O8" s="27">
        <f t="shared" si="0"/>
        <v>0.6</v>
      </c>
      <c r="P8" s="17" t="str">
        <f t="shared" si="1"/>
        <v>IN PROGRESS</v>
      </c>
    </row>
    <row r="9" spans="1:16" x14ac:dyDescent="0.25">
      <c r="A9" s="17" t="s">
        <v>132</v>
      </c>
      <c r="B9" s="3" t="s">
        <v>94</v>
      </c>
      <c r="C9" s="3" t="s">
        <v>58</v>
      </c>
      <c r="D9" s="3" t="s">
        <v>154</v>
      </c>
      <c r="E9" s="26" t="s">
        <v>55</v>
      </c>
      <c r="F9" s="26" t="s">
        <v>55</v>
      </c>
      <c r="G9" s="26" t="s">
        <v>55</v>
      </c>
      <c r="H9" s="26" t="s">
        <v>55</v>
      </c>
      <c r="I9" s="28" t="s">
        <v>156</v>
      </c>
      <c r="J9" s="28" t="s">
        <v>156</v>
      </c>
      <c r="K9" s="28" t="s">
        <v>156</v>
      </c>
      <c r="L9" s="28" t="s">
        <v>156</v>
      </c>
      <c r="M9" s="26" t="s">
        <v>55</v>
      </c>
      <c r="N9" s="28" t="s">
        <v>156</v>
      </c>
      <c r="O9" s="27">
        <f t="shared" si="0"/>
        <v>0.5</v>
      </c>
      <c r="P9" s="17" t="str">
        <f t="shared" si="1"/>
        <v>IN PROGRESS</v>
      </c>
    </row>
    <row r="10" spans="1:16" x14ac:dyDescent="0.25">
      <c r="A10" s="17" t="s">
        <v>135</v>
      </c>
      <c r="B10" s="3" t="s">
        <v>98</v>
      </c>
      <c r="C10" s="3" t="s">
        <v>53</v>
      </c>
      <c r="D10" s="3" t="s">
        <v>155</v>
      </c>
      <c r="E10" s="26" t="s">
        <v>55</v>
      </c>
      <c r="F10" s="26" t="s">
        <v>55</v>
      </c>
      <c r="G10" s="26" t="s">
        <v>55</v>
      </c>
      <c r="H10" s="26" t="s">
        <v>55</v>
      </c>
      <c r="I10" s="26" t="s">
        <v>55</v>
      </c>
      <c r="J10" s="26" t="s">
        <v>55</v>
      </c>
      <c r="K10" s="28" t="s">
        <v>156</v>
      </c>
      <c r="L10" s="26" t="s">
        <v>55</v>
      </c>
      <c r="M10" s="26" t="s">
        <v>55</v>
      </c>
      <c r="N10" s="28" t="s">
        <v>156</v>
      </c>
      <c r="O10" s="27">
        <f t="shared" si="0"/>
        <v>0.8</v>
      </c>
      <c r="P10" s="17" t="str">
        <f t="shared" si="1"/>
        <v>ADVANCED</v>
      </c>
    </row>
    <row r="11" spans="1:16" x14ac:dyDescent="0.25">
      <c r="A11" s="17" t="s">
        <v>136</v>
      </c>
      <c r="B11" s="3" t="s">
        <v>106</v>
      </c>
      <c r="C11" s="3" t="s">
        <v>53</v>
      </c>
      <c r="D11" s="3" t="s">
        <v>157</v>
      </c>
      <c r="E11" s="26" t="s">
        <v>55</v>
      </c>
      <c r="F11" s="26" t="s">
        <v>55</v>
      </c>
      <c r="G11" s="26" t="s">
        <v>55</v>
      </c>
      <c r="H11" s="28" t="s">
        <v>156</v>
      </c>
      <c r="I11" s="28" t="s">
        <v>156</v>
      </c>
      <c r="J11" s="28" t="s">
        <v>156</v>
      </c>
      <c r="K11" s="28" t="s">
        <v>156</v>
      </c>
      <c r="L11" s="28" t="s">
        <v>156</v>
      </c>
      <c r="M11" s="26" t="s">
        <v>55</v>
      </c>
      <c r="N11" s="28" t="s">
        <v>156</v>
      </c>
      <c r="O11" s="27">
        <f t="shared" si="0"/>
        <v>0.4</v>
      </c>
      <c r="P11" s="17" t="str">
        <f t="shared" si="1"/>
        <v>IN PROGRESS</v>
      </c>
    </row>
    <row r="12" spans="1:16" x14ac:dyDescent="0.25">
      <c r="A12" s="17" t="s">
        <v>137</v>
      </c>
      <c r="B12" s="3" t="s">
        <v>78</v>
      </c>
      <c r="C12" s="3" t="s">
        <v>56</v>
      </c>
      <c r="D12" s="3" t="s">
        <v>154</v>
      </c>
      <c r="E12" s="26" t="s">
        <v>55</v>
      </c>
      <c r="F12" s="26" t="s">
        <v>55</v>
      </c>
      <c r="G12" s="28" t="s">
        <v>156</v>
      </c>
      <c r="H12" s="28" t="s">
        <v>156</v>
      </c>
      <c r="I12" s="28" t="s">
        <v>156</v>
      </c>
      <c r="J12" s="28" t="s">
        <v>156</v>
      </c>
      <c r="K12" s="28" t="s">
        <v>156</v>
      </c>
      <c r="L12" s="28" t="s">
        <v>156</v>
      </c>
      <c r="M12" s="28" t="s">
        <v>156</v>
      </c>
      <c r="N12" s="28" t="s">
        <v>156</v>
      </c>
      <c r="O12" s="27">
        <f t="shared" si="0"/>
        <v>0.2</v>
      </c>
      <c r="P12" s="17" t="str">
        <f t="shared" si="1"/>
        <v>EARLY</v>
      </c>
    </row>
    <row r="13" spans="1:16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9" t="str">
        <f t="shared" ref="O13:O22" si="2">IF(A13="","",COUNTIF(E13:N13,"Y")/10)</f>
        <v/>
      </c>
      <c r="P13" s="20" t="str">
        <f t="shared" ref="P13:P22" si="3">IF(A13="","",IF(O13=1,"CLOSED",IF(O13&gt;=0.7,"ADVANCED",IF(O13&gt;=0.4,"IN PROGRESS","EARLY"))))</f>
        <v/>
      </c>
    </row>
    <row r="14" spans="1:16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9" t="str">
        <f t="shared" si="2"/>
        <v/>
      </c>
      <c r="P14" s="20" t="str">
        <f t="shared" si="3"/>
        <v/>
      </c>
    </row>
    <row r="15" spans="1:16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9" t="str">
        <f t="shared" si="2"/>
        <v/>
      </c>
      <c r="P15" s="20" t="str">
        <f t="shared" si="3"/>
        <v/>
      </c>
    </row>
    <row r="16" spans="1:16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9" t="str">
        <f t="shared" si="2"/>
        <v/>
      </c>
      <c r="P16" s="20" t="str">
        <f t="shared" si="3"/>
        <v/>
      </c>
    </row>
    <row r="17" spans="1:16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9" t="str">
        <f t="shared" si="2"/>
        <v/>
      </c>
      <c r="P17" s="20" t="str">
        <f t="shared" si="3"/>
        <v/>
      </c>
    </row>
    <row r="18" spans="1:16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9" t="str">
        <f t="shared" si="2"/>
        <v/>
      </c>
      <c r="P18" s="20" t="str">
        <f t="shared" si="3"/>
        <v/>
      </c>
    </row>
    <row r="19" spans="1:16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9" t="str">
        <f t="shared" si="2"/>
        <v/>
      </c>
      <c r="P19" s="20" t="str">
        <f t="shared" si="3"/>
        <v/>
      </c>
    </row>
    <row r="20" spans="1:16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9" t="str">
        <f t="shared" si="2"/>
        <v/>
      </c>
      <c r="P20" s="20" t="str">
        <f t="shared" si="3"/>
        <v/>
      </c>
    </row>
    <row r="21" spans="1:16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9" t="str">
        <f t="shared" si="2"/>
        <v/>
      </c>
      <c r="P21" s="20" t="str">
        <f t="shared" si="3"/>
        <v/>
      </c>
    </row>
    <row r="22" spans="1:16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9" t="str">
        <f t="shared" si="2"/>
        <v/>
      </c>
      <c r="P22" s="20" t="str">
        <f t="shared" si="3"/>
        <v/>
      </c>
    </row>
  </sheetData>
  <mergeCells count="2">
    <mergeCell ref="A1:P1"/>
    <mergeCell ref="A2:P2"/>
  </mergeCells>
  <conditionalFormatting sqref="E5:N22">
    <cfRule type="cellIs" dxfId="1" priority="2" operator="equal">
      <formula>"Y"</formula>
    </cfRule>
    <cfRule type="cellIs" dxfId="0" priority="3" operator="equal">
      <formula>"N"</formula>
    </cfRule>
  </conditionalFormatting>
  <conditionalFormatting sqref="O5:O2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allowBlank="1" sqref="E5:N22">
      <formula1>"Y,N,NA"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Normal="100" workbookViewId="0">
      <pane ySplit="4" topLeftCell="A5" activePane="bottomLeft" state="frozen"/>
      <selection pane="bottomLeft" activeCell="H7" sqref="H7"/>
    </sheetView>
  </sheetViews>
  <sheetFormatPr defaultColWidth="8.7109375" defaultRowHeight="15" x14ac:dyDescent="0.25"/>
  <cols>
    <col min="1" max="1" width="10" customWidth="1"/>
    <col min="2" max="2" width="11" customWidth="1"/>
    <col min="3" max="3" width="9" customWidth="1"/>
    <col min="4" max="4" width="16" customWidth="1"/>
    <col min="5" max="5" width="18" customWidth="1"/>
    <col min="6" max="6" width="11" customWidth="1"/>
    <col min="7" max="7" width="20" customWidth="1"/>
    <col min="8" max="9" width="16" customWidth="1"/>
    <col min="10" max="10" width="9" customWidth="1"/>
    <col min="11" max="11" width="12" customWidth="1"/>
    <col min="12" max="12" width="15" customWidth="1"/>
  </cols>
  <sheetData>
    <row r="1" spans="1:12" ht="30" customHeight="1" x14ac:dyDescent="0.25">
      <c r="A1" s="43" t="s">
        <v>115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4" t="s">
        <v>116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25.5" x14ac:dyDescent="0.25">
      <c r="A4" s="10" t="s">
        <v>117</v>
      </c>
      <c r="B4" s="10" t="s">
        <v>118</v>
      </c>
      <c r="C4" s="10" t="s">
        <v>16</v>
      </c>
      <c r="D4" s="10" t="s">
        <v>10</v>
      </c>
      <c r="E4" s="10" t="s">
        <v>65</v>
      </c>
      <c r="F4" s="10" t="s">
        <v>119</v>
      </c>
      <c r="G4" s="10" t="s">
        <v>120</v>
      </c>
      <c r="H4" s="10" t="s">
        <v>121</v>
      </c>
      <c r="I4" s="10" t="s">
        <v>69</v>
      </c>
      <c r="J4" s="10" t="s">
        <v>70</v>
      </c>
      <c r="K4" s="10" t="s">
        <v>122</v>
      </c>
      <c r="L4" s="10" t="s">
        <v>123</v>
      </c>
    </row>
    <row r="5" spans="1:12" x14ac:dyDescent="0.25">
      <c r="A5" s="17" t="s">
        <v>124</v>
      </c>
      <c r="B5" s="18">
        <v>46122</v>
      </c>
      <c r="C5" s="5" t="str">
        <f t="shared" ref="C5:C24" si="0">IF(B5="","",TEXT(B5,"MMM-YY"))</f>
        <v>Apr-26</v>
      </c>
      <c r="D5" s="3" t="s">
        <v>53</v>
      </c>
      <c r="E5" s="3" t="s">
        <v>78</v>
      </c>
      <c r="F5" s="5" t="s">
        <v>77</v>
      </c>
      <c r="G5" s="11">
        <v>42000000</v>
      </c>
      <c r="H5" s="11">
        <v>38600000</v>
      </c>
      <c r="I5" s="4">
        <f t="shared" ref="I5:I12" si="1">G5-H5</f>
        <v>3400000</v>
      </c>
      <c r="J5" s="12">
        <f t="shared" ref="J5:J12" si="2">IF(G5=0,0,I5/G5)</f>
        <v>8.0952380952380956E-2</v>
      </c>
      <c r="K5" s="5" t="s">
        <v>125</v>
      </c>
      <c r="L5" s="5" t="s">
        <v>126</v>
      </c>
    </row>
    <row r="6" spans="1:12" x14ac:dyDescent="0.25">
      <c r="A6" s="17" t="s">
        <v>127</v>
      </c>
      <c r="B6" s="18">
        <v>46134</v>
      </c>
      <c r="C6" s="5" t="str">
        <f t="shared" si="0"/>
        <v>Apr-26</v>
      </c>
      <c r="D6" s="3" t="s">
        <v>56</v>
      </c>
      <c r="E6" s="3" t="s">
        <v>82</v>
      </c>
      <c r="F6" s="5" t="s">
        <v>81</v>
      </c>
      <c r="G6" s="11">
        <v>54000000</v>
      </c>
      <c r="H6" s="11">
        <v>51300000</v>
      </c>
      <c r="I6" s="4">
        <f t="shared" si="1"/>
        <v>2700000</v>
      </c>
      <c r="J6" s="12">
        <f t="shared" si="2"/>
        <v>0.05</v>
      </c>
      <c r="K6" s="5" t="s">
        <v>125</v>
      </c>
      <c r="L6" s="5" t="s">
        <v>126</v>
      </c>
    </row>
    <row r="7" spans="1:12" x14ac:dyDescent="0.25">
      <c r="A7" s="17" t="s">
        <v>128</v>
      </c>
      <c r="B7" s="18">
        <v>46154</v>
      </c>
      <c r="C7" s="5" t="str">
        <f t="shared" si="0"/>
        <v>May-26</v>
      </c>
      <c r="D7" s="3" t="s">
        <v>53</v>
      </c>
      <c r="E7" s="3" t="s">
        <v>86</v>
      </c>
      <c r="F7" s="5" t="s">
        <v>85</v>
      </c>
      <c r="G7" s="11">
        <v>8800000</v>
      </c>
      <c r="H7" s="11">
        <v>7920000</v>
      </c>
      <c r="I7" s="4">
        <f t="shared" si="1"/>
        <v>880000</v>
      </c>
      <c r="J7" s="12">
        <f t="shared" si="2"/>
        <v>0.1</v>
      </c>
      <c r="K7" s="5" t="s">
        <v>125</v>
      </c>
      <c r="L7" s="5" t="s">
        <v>129</v>
      </c>
    </row>
    <row r="8" spans="1:12" x14ac:dyDescent="0.25">
      <c r="A8" s="17" t="s">
        <v>130</v>
      </c>
      <c r="B8" s="18">
        <v>46170</v>
      </c>
      <c r="C8" s="5" t="str">
        <f t="shared" si="0"/>
        <v>May-26</v>
      </c>
      <c r="D8" s="3" t="s">
        <v>56</v>
      </c>
      <c r="E8" s="3" t="s">
        <v>90</v>
      </c>
      <c r="F8" s="5" t="s">
        <v>89</v>
      </c>
      <c r="G8" s="11">
        <v>9500000</v>
      </c>
      <c r="H8" s="11">
        <v>8930000</v>
      </c>
      <c r="I8" s="4">
        <f t="shared" si="1"/>
        <v>570000</v>
      </c>
      <c r="J8" s="12">
        <f t="shared" si="2"/>
        <v>0.06</v>
      </c>
      <c r="K8" s="5" t="s">
        <v>131</v>
      </c>
      <c r="L8" s="5" t="s">
        <v>32</v>
      </c>
    </row>
    <row r="9" spans="1:12" x14ac:dyDescent="0.25">
      <c r="A9" s="17" t="s">
        <v>132</v>
      </c>
      <c r="B9" s="18">
        <v>46183</v>
      </c>
      <c r="C9" s="5" t="str">
        <f t="shared" si="0"/>
        <v>Jun-26</v>
      </c>
      <c r="D9" s="3" t="s">
        <v>58</v>
      </c>
      <c r="E9" s="3" t="s">
        <v>94</v>
      </c>
      <c r="F9" s="5" t="s">
        <v>93</v>
      </c>
      <c r="G9" s="11">
        <v>21500000</v>
      </c>
      <c r="H9" s="11">
        <v>19565000</v>
      </c>
      <c r="I9" s="4">
        <f t="shared" si="1"/>
        <v>1935000</v>
      </c>
      <c r="J9" s="12">
        <f t="shared" si="2"/>
        <v>0.09</v>
      </c>
      <c r="K9" s="5" t="s">
        <v>133</v>
      </c>
      <c r="L9" s="5" t="s">
        <v>134</v>
      </c>
    </row>
    <row r="10" spans="1:12" x14ac:dyDescent="0.25">
      <c r="A10" s="17" t="s">
        <v>135</v>
      </c>
      <c r="B10" s="18">
        <v>46197</v>
      </c>
      <c r="C10" s="5" t="str">
        <f t="shared" si="0"/>
        <v>Jun-26</v>
      </c>
      <c r="D10" s="3" t="s">
        <v>53</v>
      </c>
      <c r="E10" s="3" t="s">
        <v>98</v>
      </c>
      <c r="F10" s="5" t="s">
        <v>97</v>
      </c>
      <c r="G10" s="11">
        <v>6200000</v>
      </c>
      <c r="H10" s="11">
        <v>5890000</v>
      </c>
      <c r="I10" s="4">
        <f t="shared" si="1"/>
        <v>310000</v>
      </c>
      <c r="J10" s="12">
        <f t="shared" si="2"/>
        <v>0.05</v>
      </c>
      <c r="K10" s="5" t="s">
        <v>125</v>
      </c>
      <c r="L10" s="5" t="s">
        <v>32</v>
      </c>
    </row>
    <row r="11" spans="1:12" x14ac:dyDescent="0.25">
      <c r="A11" s="17" t="s">
        <v>136</v>
      </c>
      <c r="B11" s="18">
        <v>46208</v>
      </c>
      <c r="C11" s="5" t="str">
        <f t="shared" si="0"/>
        <v>Jul-26</v>
      </c>
      <c r="D11" s="3" t="s">
        <v>53</v>
      </c>
      <c r="E11" s="3" t="s">
        <v>106</v>
      </c>
      <c r="F11" s="5" t="s">
        <v>105</v>
      </c>
      <c r="G11" s="11">
        <v>4800000</v>
      </c>
      <c r="H11" s="11">
        <v>4416000</v>
      </c>
      <c r="I11" s="4">
        <f t="shared" si="1"/>
        <v>384000</v>
      </c>
      <c r="J11" s="12">
        <f t="shared" si="2"/>
        <v>0.08</v>
      </c>
      <c r="K11" s="5" t="s">
        <v>133</v>
      </c>
      <c r="L11" s="5" t="s">
        <v>32</v>
      </c>
    </row>
    <row r="12" spans="1:12" x14ac:dyDescent="0.25">
      <c r="A12" s="17" t="s">
        <v>137</v>
      </c>
      <c r="B12" s="18">
        <v>46210</v>
      </c>
      <c r="C12" s="5" t="str">
        <f t="shared" si="0"/>
        <v>Jul-26</v>
      </c>
      <c r="D12" s="3" t="s">
        <v>56</v>
      </c>
      <c r="E12" s="3" t="s">
        <v>78</v>
      </c>
      <c r="F12" s="5" t="s">
        <v>112</v>
      </c>
      <c r="G12" s="11">
        <v>900000</v>
      </c>
      <c r="H12" s="11">
        <v>855000</v>
      </c>
      <c r="I12" s="4">
        <f t="shared" si="1"/>
        <v>45000</v>
      </c>
      <c r="J12" s="12">
        <f t="shared" si="2"/>
        <v>0.05</v>
      </c>
      <c r="K12" s="5" t="s">
        <v>133</v>
      </c>
      <c r="L12" s="5" t="s">
        <v>32</v>
      </c>
    </row>
    <row r="13" spans="1:12" x14ac:dyDescent="0.25">
      <c r="A13" s="20"/>
      <c r="B13" s="21"/>
      <c r="C13" s="20" t="str">
        <f t="shared" si="0"/>
        <v/>
      </c>
      <c r="D13" s="20"/>
      <c r="E13" s="20"/>
      <c r="F13" s="20"/>
      <c r="G13" s="22"/>
      <c r="H13" s="22"/>
      <c r="I13" s="23" t="str">
        <f t="shared" ref="I13:I24" si="3">IF(G13="","",G13-H13)</f>
        <v/>
      </c>
      <c r="J13" s="24" t="str">
        <f t="shared" ref="J13:J24" si="4">IF(OR(G13="",G13=0),"",I13/G13)</f>
        <v/>
      </c>
      <c r="K13" s="20"/>
      <c r="L13" s="20"/>
    </row>
    <row r="14" spans="1:12" x14ac:dyDescent="0.25">
      <c r="A14" s="20"/>
      <c r="B14" s="21"/>
      <c r="C14" s="20" t="str">
        <f t="shared" si="0"/>
        <v/>
      </c>
      <c r="D14" s="20"/>
      <c r="E14" s="20"/>
      <c r="F14" s="20"/>
      <c r="G14" s="22"/>
      <c r="H14" s="22"/>
      <c r="I14" s="23" t="str">
        <f t="shared" si="3"/>
        <v/>
      </c>
      <c r="J14" s="24" t="str">
        <f t="shared" si="4"/>
        <v/>
      </c>
      <c r="K14" s="20"/>
      <c r="L14" s="20"/>
    </row>
    <row r="15" spans="1:12" x14ac:dyDescent="0.25">
      <c r="A15" s="20"/>
      <c r="B15" s="21"/>
      <c r="C15" s="20" t="str">
        <f t="shared" si="0"/>
        <v/>
      </c>
      <c r="D15" s="20"/>
      <c r="E15" s="20"/>
      <c r="F15" s="20"/>
      <c r="G15" s="22"/>
      <c r="H15" s="22"/>
      <c r="I15" s="23" t="str">
        <f t="shared" si="3"/>
        <v/>
      </c>
      <c r="J15" s="24" t="str">
        <f t="shared" si="4"/>
        <v/>
      </c>
      <c r="K15" s="20"/>
      <c r="L15" s="20"/>
    </row>
    <row r="16" spans="1:12" x14ac:dyDescent="0.25">
      <c r="A16" s="20"/>
      <c r="B16" s="21"/>
      <c r="C16" s="20" t="str">
        <f t="shared" si="0"/>
        <v/>
      </c>
      <c r="D16" s="20"/>
      <c r="E16" s="20"/>
      <c r="F16" s="20"/>
      <c r="G16" s="22"/>
      <c r="H16" s="22"/>
      <c r="I16" s="23" t="str">
        <f t="shared" si="3"/>
        <v/>
      </c>
      <c r="J16" s="24" t="str">
        <f t="shared" si="4"/>
        <v/>
      </c>
      <c r="K16" s="20"/>
      <c r="L16" s="20"/>
    </row>
    <row r="17" spans="1:12" x14ac:dyDescent="0.25">
      <c r="A17" s="20"/>
      <c r="B17" s="21"/>
      <c r="C17" s="20" t="str">
        <f t="shared" si="0"/>
        <v/>
      </c>
      <c r="D17" s="20"/>
      <c r="E17" s="20"/>
      <c r="F17" s="20"/>
      <c r="G17" s="22"/>
      <c r="H17" s="22"/>
      <c r="I17" s="23" t="str">
        <f t="shared" si="3"/>
        <v/>
      </c>
      <c r="J17" s="24" t="str">
        <f t="shared" si="4"/>
        <v/>
      </c>
      <c r="K17" s="20"/>
      <c r="L17" s="20"/>
    </row>
    <row r="18" spans="1:12" x14ac:dyDescent="0.25">
      <c r="A18" s="20"/>
      <c r="B18" s="21"/>
      <c r="C18" s="20" t="str">
        <f t="shared" si="0"/>
        <v/>
      </c>
      <c r="D18" s="20"/>
      <c r="E18" s="20"/>
      <c r="F18" s="20"/>
      <c r="G18" s="22"/>
      <c r="H18" s="22"/>
      <c r="I18" s="23" t="str">
        <f t="shared" si="3"/>
        <v/>
      </c>
      <c r="J18" s="24" t="str">
        <f t="shared" si="4"/>
        <v/>
      </c>
      <c r="K18" s="20"/>
      <c r="L18" s="20"/>
    </row>
    <row r="19" spans="1:12" x14ac:dyDescent="0.25">
      <c r="A19" s="20"/>
      <c r="B19" s="21"/>
      <c r="C19" s="20" t="str">
        <f t="shared" si="0"/>
        <v/>
      </c>
      <c r="D19" s="20"/>
      <c r="E19" s="20"/>
      <c r="F19" s="20"/>
      <c r="G19" s="22"/>
      <c r="H19" s="22"/>
      <c r="I19" s="23" t="str">
        <f t="shared" si="3"/>
        <v/>
      </c>
      <c r="J19" s="24" t="str">
        <f t="shared" si="4"/>
        <v/>
      </c>
      <c r="K19" s="20"/>
      <c r="L19" s="20"/>
    </row>
    <row r="20" spans="1:12" x14ac:dyDescent="0.25">
      <c r="A20" s="20"/>
      <c r="B20" s="21"/>
      <c r="C20" s="20" t="str">
        <f t="shared" si="0"/>
        <v/>
      </c>
      <c r="D20" s="20"/>
      <c r="E20" s="20"/>
      <c r="F20" s="20"/>
      <c r="G20" s="22"/>
      <c r="H20" s="22"/>
      <c r="I20" s="23" t="str">
        <f t="shared" si="3"/>
        <v/>
      </c>
      <c r="J20" s="24" t="str">
        <f t="shared" si="4"/>
        <v/>
      </c>
      <c r="K20" s="20"/>
      <c r="L20" s="20"/>
    </row>
    <row r="21" spans="1:12" x14ac:dyDescent="0.25">
      <c r="A21" s="20"/>
      <c r="B21" s="21"/>
      <c r="C21" s="20" t="str">
        <f t="shared" si="0"/>
        <v/>
      </c>
      <c r="D21" s="20"/>
      <c r="E21" s="20"/>
      <c r="F21" s="20"/>
      <c r="G21" s="22"/>
      <c r="H21" s="22"/>
      <c r="I21" s="23" t="str">
        <f t="shared" si="3"/>
        <v/>
      </c>
      <c r="J21" s="24" t="str">
        <f t="shared" si="4"/>
        <v/>
      </c>
      <c r="K21" s="20"/>
      <c r="L21" s="20"/>
    </row>
    <row r="22" spans="1:12" x14ac:dyDescent="0.25">
      <c r="A22" s="20"/>
      <c r="B22" s="21"/>
      <c r="C22" s="20" t="str">
        <f t="shared" si="0"/>
        <v/>
      </c>
      <c r="D22" s="20"/>
      <c r="E22" s="20"/>
      <c r="F22" s="20"/>
      <c r="G22" s="22"/>
      <c r="H22" s="22"/>
      <c r="I22" s="23" t="str">
        <f t="shared" si="3"/>
        <v/>
      </c>
      <c r="J22" s="24" t="str">
        <f t="shared" si="4"/>
        <v/>
      </c>
      <c r="K22" s="20"/>
      <c r="L22" s="20"/>
    </row>
    <row r="23" spans="1:12" x14ac:dyDescent="0.25">
      <c r="A23" s="20"/>
      <c r="B23" s="21"/>
      <c r="C23" s="20" t="str">
        <f t="shared" si="0"/>
        <v/>
      </c>
      <c r="D23" s="20"/>
      <c r="E23" s="20"/>
      <c r="F23" s="20"/>
      <c r="G23" s="22"/>
      <c r="H23" s="22"/>
      <c r="I23" s="23" t="str">
        <f t="shared" si="3"/>
        <v/>
      </c>
      <c r="J23" s="24" t="str">
        <f t="shared" si="4"/>
        <v/>
      </c>
      <c r="K23" s="20"/>
      <c r="L23" s="20"/>
    </row>
    <row r="24" spans="1:12" x14ac:dyDescent="0.25">
      <c r="A24" s="20"/>
      <c r="B24" s="21"/>
      <c r="C24" s="20" t="str">
        <f t="shared" si="0"/>
        <v/>
      </c>
      <c r="D24" s="20"/>
      <c r="E24" s="20"/>
      <c r="F24" s="20"/>
      <c r="G24" s="22"/>
      <c r="H24" s="22"/>
      <c r="I24" s="23" t="str">
        <f t="shared" si="3"/>
        <v/>
      </c>
      <c r="J24" s="24" t="str">
        <f t="shared" si="4"/>
        <v/>
      </c>
      <c r="K24" s="20"/>
      <c r="L24" s="20"/>
    </row>
    <row r="25" spans="1:12" x14ac:dyDescent="0.25">
      <c r="E25" s="25" t="s">
        <v>138</v>
      </c>
      <c r="F25" s="16"/>
      <c r="G25" s="14">
        <f>SUM(G5:G24)</f>
        <v>147700000</v>
      </c>
      <c r="H25" s="14">
        <f>SUM(H5:H24)</f>
        <v>137476000</v>
      </c>
      <c r="I25" s="14">
        <f>SUM(I5:I24)</f>
        <v>10224000</v>
      </c>
      <c r="J25" s="15">
        <f>IF(G25=0,0,I25/G25)</f>
        <v>6.9221394719025053E-2</v>
      </c>
    </row>
  </sheetData>
  <mergeCells count="2">
    <mergeCell ref="A1:L1"/>
    <mergeCell ref="A2:L2"/>
  </mergeCells>
  <conditionalFormatting sqref="J5:J24">
    <cfRule type="colorScale" priority="2">
      <colorScale>
        <cfvo type="num" val="0"/>
        <cfvo type="num" val="0.08"/>
        <cfvo type="num" val="0.15"/>
        <color rgb="FFF8696B"/>
        <color rgb="FFFFEB84"/>
        <color rgb="FF63BE7B"/>
      </colorScale>
    </cfRule>
  </conditionalFormatting>
  <dataValidations count="3">
    <dataValidation type="list" allowBlank="1" sqref="K5:K24">
      <formula1>"Processing,In Transit,Delivered,Installed,Cancelled"</formula1>
      <formula2>0</formula2>
    </dataValidation>
    <dataValidation type="list" allowBlank="1" sqref="L5:L24">
      <formula1>"Pending,Advance Received,Part Received,Received"</formula1>
      <formula2>0</formula2>
    </dataValidation>
    <dataValidation type="list" allowBlank="1" sqref="D5:D24">
      <formula1>"Bhuvara PR,Rahul Raju,Laxman Kamath"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>
      <pane ySplit="4" topLeftCell="A5" activePane="bottomLeft" state="frozen"/>
      <selection pane="bottomLeft" sqref="A1:J1"/>
    </sheetView>
  </sheetViews>
  <sheetFormatPr defaultColWidth="8.7109375" defaultRowHeight="15" x14ac:dyDescent="0.25"/>
  <cols>
    <col min="1" max="1" width="18" customWidth="1"/>
    <col min="2" max="3" width="17" customWidth="1"/>
    <col min="4" max="4" width="15" customWidth="1"/>
    <col min="5" max="5" width="12" customWidth="1"/>
    <col min="6" max="6" width="17" customWidth="1"/>
    <col min="7" max="7" width="16" customWidth="1"/>
    <col min="8" max="8" width="15" customWidth="1"/>
    <col min="9" max="9" width="12" customWidth="1"/>
    <col min="10" max="10" width="18" customWidth="1"/>
  </cols>
  <sheetData>
    <row r="1" spans="1:10" ht="30" customHeight="1" x14ac:dyDescent="0.25">
      <c r="A1" s="43" t="s">
        <v>158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</v>
      </c>
      <c r="B2" s="44"/>
      <c r="C2" s="44"/>
      <c r="D2" s="44"/>
      <c r="E2" s="44"/>
      <c r="F2" s="44"/>
      <c r="G2" s="44"/>
      <c r="H2" s="44"/>
      <c r="I2" s="44"/>
      <c r="J2" s="44"/>
    </row>
    <row r="4" spans="1:10" ht="30" customHeight="1" x14ac:dyDescent="0.25">
      <c r="A4" s="10" t="s">
        <v>10</v>
      </c>
      <c r="B4" s="10" t="s">
        <v>160</v>
      </c>
      <c r="C4" s="10" t="s">
        <v>161</v>
      </c>
      <c r="D4" s="10" t="s">
        <v>162</v>
      </c>
      <c r="E4" s="10" t="s">
        <v>163</v>
      </c>
      <c r="F4" s="10" t="s">
        <v>164</v>
      </c>
      <c r="G4" s="10" t="s">
        <v>165</v>
      </c>
      <c r="H4" s="10" t="s">
        <v>166</v>
      </c>
      <c r="I4" s="10" t="s">
        <v>167</v>
      </c>
      <c r="J4" s="10" t="s">
        <v>168</v>
      </c>
    </row>
    <row r="5" spans="1:10" x14ac:dyDescent="0.25">
      <c r="A5" s="2" t="s">
        <v>53</v>
      </c>
      <c r="B5" s="30">
        <f>'Targets &amp; Settings'!B11</f>
        <v>30000000</v>
      </c>
      <c r="C5" s="4">
        <f>SUMIFS(Orders!G$5:G$24,Orders!D$5:D$24,A5)</f>
        <v>61800000</v>
      </c>
      <c r="D5" s="4">
        <f>MAX(B5-C5,0)</f>
        <v>0</v>
      </c>
      <c r="E5" s="12">
        <f>IF(B5=0,0,C5/B5)</f>
        <v>2.06</v>
      </c>
      <c r="F5" s="30">
        <f>'Targets &amp; Settings'!C11</f>
        <v>2400000</v>
      </c>
      <c r="G5" s="4">
        <f>SUMIFS(Orders!I$5:I$24,Orders!D$5:D$24,A5)</f>
        <v>4974000</v>
      </c>
      <c r="H5" s="4">
        <f>MAX(F5-G5,0)</f>
        <v>0</v>
      </c>
      <c r="I5" s="12">
        <f>IF(F5=0,0,G5/F5)</f>
        <v>2.0724999999999998</v>
      </c>
      <c r="J5" s="31">
        <f>G5*'Targets &amp; Settings'!$B$7</f>
        <v>248700</v>
      </c>
    </row>
    <row r="6" spans="1:10" x14ac:dyDescent="0.25">
      <c r="A6" s="2" t="s">
        <v>56</v>
      </c>
      <c r="B6" s="30">
        <f>'Targets &amp; Settings'!B12</f>
        <v>25000000</v>
      </c>
      <c r="C6" s="4">
        <f>SUMIFS(Orders!G$5:G$24,Orders!D$5:D$24,A6)</f>
        <v>64400000</v>
      </c>
      <c r="D6" s="4">
        <f>MAX(B6-C6,0)</f>
        <v>0</v>
      </c>
      <c r="E6" s="12">
        <f>IF(B6=0,0,C6/B6)</f>
        <v>2.5760000000000001</v>
      </c>
      <c r="F6" s="30">
        <f>'Targets &amp; Settings'!C12</f>
        <v>2000000</v>
      </c>
      <c r="G6" s="4">
        <f>SUMIFS(Orders!I$5:I$24,Orders!D$5:D$24,A6)</f>
        <v>3315000</v>
      </c>
      <c r="H6" s="4">
        <f>MAX(F6-G6,0)</f>
        <v>0</v>
      </c>
      <c r="I6" s="12">
        <f>IF(F6=0,0,G6/F6)</f>
        <v>1.6575</v>
      </c>
      <c r="J6" s="31">
        <f>G6*'Targets &amp; Settings'!$B$7</f>
        <v>165750</v>
      </c>
    </row>
    <row r="7" spans="1:10" x14ac:dyDescent="0.25">
      <c r="A7" s="2" t="s">
        <v>58</v>
      </c>
      <c r="B7" s="30">
        <f>'Targets &amp; Settings'!B13</f>
        <v>45000000</v>
      </c>
      <c r="C7" s="4">
        <f>SUMIFS(Orders!G$5:G$24,Orders!D$5:D$24,A7)</f>
        <v>21500000</v>
      </c>
      <c r="D7" s="4">
        <f>MAX(B7-C7,0)</f>
        <v>23500000</v>
      </c>
      <c r="E7" s="12">
        <f>IF(B7=0,0,C7/B7)</f>
        <v>0.4777777777777778</v>
      </c>
      <c r="F7" s="30">
        <f>'Targets &amp; Settings'!C13</f>
        <v>3600000</v>
      </c>
      <c r="G7" s="4">
        <f>SUMIFS(Orders!I$5:I$24,Orders!D$5:D$24,A7)</f>
        <v>1935000</v>
      </c>
      <c r="H7" s="4">
        <f>MAX(F7-G7,0)</f>
        <v>1665000</v>
      </c>
      <c r="I7" s="12">
        <f>IF(F7=0,0,G7/F7)</f>
        <v>0.53749999999999998</v>
      </c>
      <c r="J7" s="31">
        <f>G7*'Targets &amp; Settings'!$B$7</f>
        <v>96750</v>
      </c>
    </row>
    <row r="8" spans="1:10" x14ac:dyDescent="0.25">
      <c r="A8" s="13" t="s">
        <v>60</v>
      </c>
      <c r="B8" s="14">
        <f>SUM(B5:B7)</f>
        <v>100000000</v>
      </c>
      <c r="C8" s="14">
        <f>SUM(C5:C7)</f>
        <v>147700000</v>
      </c>
      <c r="D8" s="14">
        <f>SUM(D5:D7)</f>
        <v>23500000</v>
      </c>
      <c r="E8" s="15">
        <f>IF(B8=0,0,C8/B8)</f>
        <v>1.4770000000000001</v>
      </c>
      <c r="F8" s="14">
        <f>SUM(F5:F7)</f>
        <v>8000000</v>
      </c>
      <c r="G8" s="14">
        <f>SUM(G5:G7)</f>
        <v>10224000</v>
      </c>
      <c r="H8" s="14">
        <f>SUM(H5:H7)</f>
        <v>1665000</v>
      </c>
      <c r="I8" s="15">
        <f>IF(F8=0,0,G8/F8)</f>
        <v>1.278</v>
      </c>
      <c r="J8" s="14">
        <f>SUM(J5:J7)</f>
        <v>511200</v>
      </c>
    </row>
    <row r="10" spans="1:10" x14ac:dyDescent="0.25">
      <c r="A10" s="32" t="s">
        <v>169</v>
      </c>
    </row>
  </sheetData>
  <mergeCells count="2">
    <mergeCell ref="A1:J1"/>
    <mergeCell ref="A2:J2"/>
  </mergeCells>
  <conditionalFormatting sqref="E5:E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5:I7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Normal="100" workbookViewId="0">
      <pane ySplit="4" topLeftCell="A5" activePane="bottomLeft" state="frozen"/>
      <selection pane="bottomLeft" activeCell="C5" sqref="C5"/>
    </sheetView>
  </sheetViews>
  <sheetFormatPr defaultColWidth="8.7109375" defaultRowHeight="15" x14ac:dyDescent="0.25"/>
  <cols>
    <col min="1" max="1" width="22" customWidth="1"/>
    <col min="2" max="2" width="24" customWidth="1"/>
    <col min="3" max="3" width="100" customWidth="1"/>
  </cols>
  <sheetData>
    <row r="1" spans="1:5" ht="30" customHeight="1" x14ac:dyDescent="0.25">
      <c r="A1" s="43" t="s">
        <v>170</v>
      </c>
      <c r="B1" s="43"/>
      <c r="C1" s="43"/>
      <c r="D1" s="43"/>
      <c r="E1" s="43"/>
    </row>
    <row r="2" spans="1:5" x14ac:dyDescent="0.25">
      <c r="A2" s="44" t="s">
        <v>171</v>
      </c>
      <c r="B2" s="44"/>
      <c r="C2" s="44"/>
      <c r="D2" s="44"/>
      <c r="E2" s="44"/>
    </row>
    <row r="4" spans="1:5" x14ac:dyDescent="0.25">
      <c r="A4" s="10" t="s">
        <v>172</v>
      </c>
      <c r="B4" s="10" t="s">
        <v>173</v>
      </c>
      <c r="C4" s="10" t="s">
        <v>174</v>
      </c>
    </row>
    <row r="5" spans="1:5" ht="39" customHeight="1" x14ac:dyDescent="0.25">
      <c r="A5" s="6" t="s">
        <v>175</v>
      </c>
      <c r="B5" s="2" t="s">
        <v>176</v>
      </c>
      <c r="C5" s="33" t="s">
        <v>177</v>
      </c>
    </row>
    <row r="6" spans="1:5" ht="25.5" customHeight="1" x14ac:dyDescent="0.25">
      <c r="A6" s="6"/>
      <c r="B6" s="2" t="s">
        <v>178</v>
      </c>
      <c r="C6" s="33" t="s">
        <v>179</v>
      </c>
    </row>
    <row r="7" spans="1:5" ht="25.5" customHeight="1" x14ac:dyDescent="0.25">
      <c r="A7" s="6"/>
      <c r="B7" s="2" t="s">
        <v>180</v>
      </c>
      <c r="C7" s="33" t="s">
        <v>181</v>
      </c>
    </row>
    <row r="8" spans="1:5" ht="25.5" customHeight="1" x14ac:dyDescent="0.25">
      <c r="A8" s="6"/>
      <c r="B8" s="2" t="s">
        <v>182</v>
      </c>
      <c r="C8" s="33" t="s">
        <v>183</v>
      </c>
    </row>
    <row r="9" spans="1:5" ht="15" customHeight="1" x14ac:dyDescent="0.25">
      <c r="A9" s="6"/>
      <c r="B9" s="2" t="s">
        <v>184</v>
      </c>
      <c r="C9" s="33" t="s">
        <v>185</v>
      </c>
    </row>
    <row r="10" spans="1:5" ht="15" customHeight="1" x14ac:dyDescent="0.25">
      <c r="A10" s="6"/>
      <c r="B10" s="2" t="s">
        <v>186</v>
      </c>
      <c r="C10" s="33" t="s">
        <v>187</v>
      </c>
    </row>
    <row r="11" spans="1:5" ht="25.5" customHeight="1" x14ac:dyDescent="0.25">
      <c r="A11" s="6" t="s">
        <v>188</v>
      </c>
      <c r="B11" s="2" t="s">
        <v>189</v>
      </c>
      <c r="C11" s="33" t="s">
        <v>190</v>
      </c>
    </row>
    <row r="12" spans="1:5" ht="25.5" customHeight="1" x14ac:dyDescent="0.25">
      <c r="A12" s="6"/>
      <c r="B12" s="2" t="s">
        <v>191</v>
      </c>
      <c r="C12" s="33" t="s">
        <v>192</v>
      </c>
    </row>
    <row r="13" spans="1:5" ht="15" customHeight="1" x14ac:dyDescent="0.25">
      <c r="A13" s="6"/>
      <c r="B13" s="2" t="s">
        <v>193</v>
      </c>
      <c r="C13" s="33" t="s">
        <v>194</v>
      </c>
    </row>
    <row r="14" spans="1:5" ht="15" customHeight="1" x14ac:dyDescent="0.25">
      <c r="A14" s="6"/>
      <c r="B14" s="2" t="s">
        <v>195</v>
      </c>
      <c r="C14" s="33" t="s">
        <v>196</v>
      </c>
    </row>
    <row r="15" spans="1:5" ht="39" customHeight="1" x14ac:dyDescent="0.25">
      <c r="A15" s="6"/>
      <c r="B15" s="2" t="s">
        <v>197</v>
      </c>
      <c r="C15" s="33" t="s">
        <v>198</v>
      </c>
    </row>
    <row r="16" spans="1:5" ht="25.5" customHeight="1" x14ac:dyDescent="0.25">
      <c r="A16" s="6"/>
      <c r="B16" s="2" t="s">
        <v>199</v>
      </c>
      <c r="C16" s="33" t="s">
        <v>200</v>
      </c>
    </row>
    <row r="17" spans="1:3" ht="15" customHeight="1" x14ac:dyDescent="0.25">
      <c r="A17" s="6"/>
      <c r="B17" s="2" t="s">
        <v>201</v>
      </c>
      <c r="C17" s="33" t="s">
        <v>202</v>
      </c>
    </row>
    <row r="18" spans="1:3" ht="25.5" customHeight="1" x14ac:dyDescent="0.25">
      <c r="A18" s="6" t="s">
        <v>203</v>
      </c>
      <c r="B18" s="2" t="s">
        <v>204</v>
      </c>
      <c r="C18" s="33" t="s">
        <v>205</v>
      </c>
    </row>
    <row r="19" spans="1:3" ht="25.5" customHeight="1" x14ac:dyDescent="0.25">
      <c r="A19" s="6"/>
      <c r="B19" s="2" t="s">
        <v>10</v>
      </c>
      <c r="C19" s="33" t="s">
        <v>206</v>
      </c>
    </row>
    <row r="20" spans="1:3" ht="15" customHeight="1" x14ac:dyDescent="0.25">
      <c r="A20" s="6"/>
      <c r="B20" s="2" t="s">
        <v>207</v>
      </c>
      <c r="C20" s="33" t="s">
        <v>208</v>
      </c>
    </row>
    <row r="21" spans="1:3" ht="25.5" customHeight="1" x14ac:dyDescent="0.25">
      <c r="A21" s="6" t="s">
        <v>209</v>
      </c>
      <c r="B21" s="2" t="s">
        <v>210</v>
      </c>
      <c r="C21" s="33" t="s">
        <v>211</v>
      </c>
    </row>
    <row r="22" spans="1:3" ht="25.5" customHeight="1" x14ac:dyDescent="0.25">
      <c r="A22" s="6"/>
      <c r="B22" s="2" t="s">
        <v>212</v>
      </c>
      <c r="C22" s="33" t="s">
        <v>213</v>
      </c>
    </row>
    <row r="23" spans="1:3" ht="15" customHeight="1" x14ac:dyDescent="0.25">
      <c r="A23" s="6"/>
      <c r="B23" s="2" t="s">
        <v>214</v>
      </c>
      <c r="C23" s="33" t="s">
        <v>215</v>
      </c>
    </row>
    <row r="24" spans="1:3" ht="15" customHeight="1" x14ac:dyDescent="0.25">
      <c r="A24" s="6"/>
      <c r="B24" s="2" t="s">
        <v>216</v>
      </c>
      <c r="C24" s="33" t="s">
        <v>217</v>
      </c>
    </row>
    <row r="25" spans="1:3" ht="25.5" customHeight="1" x14ac:dyDescent="0.25">
      <c r="A25" s="6" t="s">
        <v>218</v>
      </c>
      <c r="B25" s="2"/>
      <c r="C25" s="33" t="s">
        <v>219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Targets &amp; Settings</vt:lpstr>
      <vt:lpstr>Price Desk</vt:lpstr>
      <vt:lpstr>Order Checklist</vt:lpstr>
      <vt:lpstr>Orders</vt:lpstr>
      <vt:lpstr>Incentive</vt:lpstr>
      <vt:lpstr>Dev Spec (Web App)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Jacquline</cp:lastModifiedBy>
  <cp:revision>1</cp:revision>
  <dcterms:created xsi:type="dcterms:W3CDTF">2026-07-08T08:50:35Z</dcterms:created>
  <dcterms:modified xsi:type="dcterms:W3CDTF">2026-07-10T17:22:38Z</dcterms:modified>
  <dc:language>en-US</dc:language>
</cp:coreProperties>
</file>